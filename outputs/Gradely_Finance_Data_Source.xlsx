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1952b42aa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Input" sheetId="1" r:id="R67308033f09843a9"/>
    <x:sheet xmlns:r="http://schemas.openxmlformats.org/officeDocument/2006/relationships" name="Calculated Metrics" sheetId="2" r:id="R8b67f015386d4cb7"/>
    <x:sheet xmlns:r="http://schemas.openxmlformats.org/officeDocument/2006/relationships" name="Lists" sheetId="3" r:id="Rd31c2e534452458c"/>
    <x:sheet xmlns:r="http://schemas.openxmlformats.org/officeDocument/2006/relationships" name="Data Quality" sheetId="4" r:id="R1e74cb9dc94b48a9"/>
    <x:sheet xmlns:r="http://schemas.openxmlformats.org/officeDocument/2006/relationships" name="Instructions" sheetId="5" r:id="R1aee05efad96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;(#,##0.00);-"/>
    <x:numFmt numFmtId="202" formatCode="0.0%"/>
    <x:numFmt numFmtId="203" formatCode="₦#,##0.00;(₦#,##0.00);-"/>
    <x:numFmt numFmtId="204" formatCode="0.0x"/>
    <x:numFmt numFmtId="205" formatCode="0.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2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</x:fills>
  <x:borders count="13">
    <x:border>
      <x:left/>
      <x:right/>
      <x:top/>
      <x:bottom/>
      <x:diagonal/>
    </x:border>
    <x:border>
      <x:left style="thin">
        <x:color rgb="FFD9E2F3"/>
      </x:left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E2F3"/>
      </x:left>
      <x:right style="thin">
        <x:color rgb="FFE7E6E6"/>
      </x:right>
      <x:top style="thin">
        <x:color rgb="FFD9E2F3"/>
      </x:top>
      <x:bottom style="thin">
        <x:color rgb="FFE7E6E6"/>
      </x:bottom>
      <x:diagonal/>
    </x:border>
    <x:border>
      <x:left style="thin">
        <x:color rgb="FFE7E6E6"/>
      </x:left>
      <x:right style="thin">
        <x:color rgb="FFE7E6E6"/>
      </x:right>
      <x:top style="thin">
        <x:color rgb="FFD9E2F3"/>
      </x:top>
      <x:bottom style="thin">
        <x:color rgb="FFE7E6E6"/>
      </x:bottom>
      <x:diagonal/>
    </x:border>
    <x:border>
      <x:left style="thin">
        <x:color rgb="FFE7E6E6"/>
      </x:left>
      <x:right style="thin">
        <x:color rgb="FFD9E2F3"/>
      </x:right>
      <x:top style="thin">
        <x:color rgb="FFD9E2F3"/>
      </x:top>
      <x:bottom style="thin">
        <x:color rgb="FFE7E6E6"/>
      </x:bottom>
      <x:diagonal/>
    </x:border>
    <x:border>
      <x:left/>
      <x:right style="thin">
        <x:color rgb="FFE7E6E6"/>
      </x:right>
      <x:top style="thin">
        <x:color rgb="FFE7E6E6"/>
      </x:top>
      <x:bottom style="thin">
        <x:color rgb="FFE7E6E6"/>
      </x:bottom>
      <x:diagonal/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  <x:diagonal/>
    </x:border>
    <x:border>
      <x:left style="thin">
        <x:color rgb="FFE7E6E6"/>
      </x:left>
      <x:right/>
      <x:top style="thin">
        <x:color rgb="FFE7E6E6"/>
      </x:top>
      <x:bottom style="thin">
        <x:color rgb="FFE7E6E6"/>
      </x:bottom>
      <x:diagonal/>
    </x:border>
    <x:border>
      <x:left/>
      <x:right style="thin">
        <x:color rgb="FFE7E6E6"/>
      </x:right>
      <x:top style="thin">
        <x:color rgb="FFE7E6E6"/>
      </x:top>
      <x:bottom/>
      <x:diagonal/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/>
      <x:diagonal/>
    </x:border>
    <x:border>
      <x:left style="thin">
        <x:color rgb="FFE7E6E6"/>
      </x:left>
      <x:right/>
      <x:top style="thin">
        <x:color rgb="FFE7E6E6"/>
      </x:top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205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045b59a7e45f5" /><Relationship Type="http://schemas.openxmlformats.org/officeDocument/2006/relationships/theme" Target="/xl/theme/theme1.xml" Id="Rd4141933fe8c4757" /><Relationship Type="http://schemas.openxmlformats.org/officeDocument/2006/relationships/sharedStrings" Target="/xl/sharedStrings.xml" Id="R1f4930c595d34b7c" /><Relationship Type="http://schemas.openxmlformats.org/officeDocument/2006/relationships/worksheet" Target="/xl/worksheets/sheet1.xml" Id="R67308033f09843a9" /><Relationship Type="http://schemas.openxmlformats.org/officeDocument/2006/relationships/worksheet" Target="/xl/worksheets/sheet2.xml" Id="R8b67f015386d4cb7" /><Relationship Type="http://schemas.openxmlformats.org/officeDocument/2006/relationships/worksheet" Target="/xl/worksheets/sheet3.xml" Id="Rd31c2e534452458c" /><Relationship Type="http://schemas.openxmlformats.org/officeDocument/2006/relationships/worksheet" Target="/xl/worksheets/sheet4.xml" Id="R1e74cb9dc94b48a9" /><Relationship Type="http://schemas.openxmlformats.org/officeDocument/2006/relationships/worksheet" Target="/xl/worksheets/sheet5.xml" Id="R1aee05efad96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6E4F0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5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26" t="str">
        <x:v>Business Unit</x:v>
      </x:c>
      <x:c r="B1" s="27" t="str">
        <x:v>Date</x:v>
      </x:c>
      <x:c r="C1" s="27" t="str">
        <x:v>MRR</x:v>
      </x:c>
      <x:c r="D1" s="27" t="str">
        <x:v>Gross Profit</x:v>
      </x:c>
      <x:c r="E1" s="27" t="str">
        <x:v>Net Profit</x:v>
      </x:c>
      <x:c r="F1" s="27" t="str">
        <x:v>Total Inflow</x:v>
      </x:c>
      <x:c r="G1" s="27" t="str">
        <x:v>Total Outflow</x:v>
      </x:c>
      <x:c r="H1" s="27" t="str">
        <x:v>Cash Balance</x:v>
      </x:c>
      <x:c r="I1" s="27" t="str">
        <x:v>Paying Users</x:v>
      </x:c>
      <x:c r="J1" s="27" t="str">
        <x:v>Customer Acquisition Cost</x:v>
      </x:c>
      <x:c r="K1" s="27" t="str">
        <x:v>Churn Rate</x:v>
      </x:c>
      <x:c r="L1" s="27" t="str">
        <x:v>Organic Sales</x:v>
      </x:c>
      <x:c r="M1" s="27" t="str">
        <x:v>Paid Sales</x:v>
      </x:c>
      <x:c r="N1" s="27" t="str">
        <x:v>Referral Sales</x:v>
      </x:c>
      <x:c r="O1" s="27" t="str">
        <x:v>Cash Owed</x:v>
      </x:c>
      <x:c r="P1" s="27" t="str">
        <x:v>Loan Balance</x:v>
      </x:c>
      <x:c r="Q1" s="27" t="str">
        <x:v>Loans Received</x:v>
      </x:c>
      <x:c r="R1" s="27" t="str">
        <x:v>Loan Repayments</x:v>
      </x:c>
      <x:c r="S1" s="27" t="str">
        <x:v>Loan Interest &amp; Fees</x:v>
      </x:c>
      <x:c r="T1" s="27" t="str">
        <x:v>Payables Balance</x:v>
      </x:c>
      <x:c r="U1" s="28" t="str">
        <x:v>Payables Paid</x:v>
      </x:c>
    </x:row>
    <x:row r="2">
      <x:c r="A2" s="29" t="str">
        <x:v>Overview</x:v>
      </x:c>
      <x:c r="B2" s="30" t="d">
        <x:v>2026-01-01T00:00:00.000Z</x:v>
      </x:c>
      <x:c r="C2" s="31" t="n">
        <x:v>10201282.76</x:v>
      </x:c>
      <x:c r="D2" s="31" t="n">
        <x:v>7504679.96</x:v>
      </x:c>
      <x:c r="E2" s="31" t="n">
        <x:v>-20657909.52</x:v>
      </x:c>
      <x:c r="F2" s="31" t="n">
        <x:v>9371804.59</x:v>
      </x:c>
      <x:c r="G2" s="31" t="n">
        <x:v>34142690.11</x:v>
      </x:c>
      <x:c r="H2" s="31" t="n">
        <x:v>635171.73</x:v>
      </x:c>
      <x:c r="I2" s="31" t="n">
        <x:v>101331</x:v>
      </x:c>
      <x:c r="J2" s="31"/>
      <x:c r="K2" s="32" t="n">
        <x:v>9.5</x:v>
      </x:c>
      <x:c r="L2" s="31"/>
      <x:c r="M2" s="31"/>
      <x:c r="N2" s="31"/>
      <x:c r="O2" s="31" t="n">
        <x:v>4112976</x:v>
      </x:c>
      <x:c r="P2" s="31"/>
      <x:c r="Q2" s="31"/>
      <x:c r="R2" s="31"/>
      <x:c r="S2" s="31"/>
      <x:c r="T2" s="31"/>
      <x:c r="U2" s="33"/>
    </x:row>
    <x:row r="3">
      <x:c r="A3" s="29" t="str">
        <x:v>Overview</x:v>
      </x:c>
      <x:c r="B3" s="30" t="d">
        <x:v>2026-02-01T00:00:00.000Z</x:v>
      </x:c>
      <x:c r="C3" s="31" t="n">
        <x:v>9311329.1</x:v>
      </x:c>
      <x:c r="D3" s="31" t="n">
        <x:v>4441529.1</x:v>
      </x:c>
      <x:c r="E3" s="31" t="n">
        <x:v>-13637203.13</x:v>
      </x:c>
      <x:c r="F3" s="31" t="n">
        <x:v>20312857.1</x:v>
      </x:c>
      <x:c r="G3" s="31" t="n">
        <x:v>31782290.39</x:v>
      </x:c>
      <x:c r="H3" s="31" t="n">
        <x:v>923069.82</x:v>
      </x:c>
      <x:c r="I3" s="31" t="n">
        <x:v>101832</x:v>
      </x:c>
      <x:c r="J3" s="31" t="n">
        <x:v>1158086.58</x:v>
      </x:c>
      <x:c r="K3" s="32" t="n">
        <x:v>7.5</x:v>
      </x:c>
      <x:c r="L3" s="31"/>
      <x:c r="M3" s="31"/>
      <x:c r="N3" s="31"/>
      <x:c r="O3" s="31" t="n">
        <x:v>1945206.16</x:v>
      </x:c>
      <x:c r="P3" s="31"/>
      <x:c r="Q3" s="31"/>
      <x:c r="R3" s="31"/>
      <x:c r="S3" s="31"/>
      <x:c r="T3" s="31"/>
      <x:c r="U3" s="33"/>
    </x:row>
    <x:row r="4">
      <x:c r="A4" s="29" t="str">
        <x:v>Overview</x:v>
      </x:c>
      <x:c r="B4" s="30" t="d">
        <x:v>2026-03-01T00:00:00.000Z</x:v>
      </x:c>
      <x:c r="C4" s="31" t="n">
        <x:v>10259725.16</x:v>
      </x:c>
      <x:c r="D4" s="31" t="n">
        <x:v>3593558.36</x:v>
      </x:c>
      <x:c r="E4" s="31" t="n">
        <x:v>-9054648.37</x:v>
      </x:c>
      <x:c r="F4" s="31" t="n">
        <x:v>17217792.41</x:v>
      </x:c>
      <x:c r="G4" s="31" t="n">
        <x:v>29805060.78</x:v>
      </x:c>
      <x:c r="H4" s="31" t="n">
        <x:v>580347.86</x:v>
      </x:c>
      <x:c r="I4" s="31" t="n">
        <x:v>49735</x:v>
      </x:c>
      <x:c r="J4" s="31" t="n">
        <x:v>10139.94</x:v>
      </x:c>
      <x:c r="K4" s="32" t="n">
        <x:v>5.1</x:v>
      </x:c>
      <x:c r="L4" s="31"/>
      <x:c r="M4" s="31"/>
      <x:c r="N4" s="31" t="n">
        <x:v>28903.57</x:v>
      </x:c>
      <x:c r="O4" s="31" t="n">
        <x:v>5477826.16</x:v>
      </x:c>
      <x:c r="P4" s="31"/>
      <x:c r="Q4" s="31"/>
      <x:c r="R4" s="31"/>
      <x:c r="S4" s="31"/>
      <x:c r="T4" s="31"/>
      <x:c r="U4" s="33"/>
    </x:row>
    <x:row r="5">
      <x:c r="A5" s="29" t="str">
        <x:v>Overview</x:v>
      </x:c>
      <x:c r="B5" s="30" t="d">
        <x:v>2026-04-01T00:00:00.000Z</x:v>
      </x:c>
      <x:c r="C5" s="31" t="n">
        <x:v>10414070.6</x:v>
      </x:c>
      <x:c r="D5" s="31" t="n">
        <x:v>6257958.2</x:v>
      </x:c>
      <x:c r="E5" s="31" t="n">
        <x:v>-688483.7</x:v>
      </x:c>
      <x:c r="F5" s="31" t="n">
        <x:v>17656024.54</x:v>
      </x:c>
      <x:c r="G5" s="31" t="n">
        <x:v>18167607.4</x:v>
      </x:c>
      <x:c r="H5" s="31" t="n">
        <x:v>138115.62</x:v>
      </x:c>
      <x:c r="I5" s="31" t="n">
        <x:v>84839</x:v>
      </x:c>
      <x:c r="J5" s="31"/>
      <x:c r="K5" s="32" t="n">
        <x:v>6.3</x:v>
      </x:c>
      <x:c r="L5" s="31"/>
      <x:c r="M5" s="31"/>
      <x:c r="N5" s="31" t="n">
        <x:v>360360.41</x:v>
      </x:c>
      <x:c r="O5" s="31" t="n">
        <x:v>5300925.32</x:v>
      </x:c>
      <x:c r="P5" s="31"/>
      <x:c r="Q5" s="31"/>
      <x:c r="R5" s="31"/>
      <x:c r="S5" s="31"/>
      <x:c r="T5" s="31"/>
      <x:c r="U5" s="33"/>
    </x:row>
    <x:row r="6">
      <x:c r="A6" s="29" t="str">
        <x:v>Overview</x:v>
      </x:c>
      <x:c r="B6" s="30" t="d">
        <x:v>2026-05-01T00:00:00.000Z</x:v>
      </x:c>
      <x:c r="C6" s="31" t="n">
        <x:v>11262574.89</x:v>
      </x:c>
      <x:c r="D6" s="31" t="n">
        <x:v>10471574.89</x:v>
      </x:c>
      <x:c r="E6" s="31" t="n">
        <x:v>3638748.39</x:v>
      </x:c>
      <x:c r="F6" s="31" t="n">
        <x:v>13437726.09</x:v>
      </x:c>
      <x:c r="G6" s="31" t="n">
        <x:v>13208086.19</x:v>
      </x:c>
      <x:c r="H6" s="31" t="n">
        <x:v>353714.29</x:v>
      </x:c>
      <x:c r="I6" s="31" t="n">
        <x:v>83041</x:v>
      </x:c>
      <x:c r="J6" s="31"/>
      <x:c r="K6" s="32" t="n">
        <x:v>4.5</x:v>
      </x:c>
      <x:c r="L6" s="31"/>
      <x:c r="M6" s="31"/>
      <x:c r="N6" s="31" t="n">
        <x:v>916069.99</x:v>
      </x:c>
      <x:c r="O6" s="31" t="n">
        <x:v>8939458.04</x:v>
      </x:c>
      <x:c r="P6" s="31"/>
      <x:c r="Q6" s="31"/>
      <x:c r="R6" s="31"/>
      <x:c r="S6" s="31"/>
      <x:c r="T6" s="31"/>
      <x:c r="U6" s="33"/>
    </x:row>
    <x:row r="7">
      <x:c r="A7" s="29" t="str">
        <x:v>Overview</x:v>
      </x:c>
      <x:c r="B7" s="30" t="d">
        <x:v>2026-06-01T00:00:00.000Z</x:v>
      </x:c>
      <x:c r="C7" s="31" t="n">
        <x:v>10290678.7</x:v>
      </x:c>
      <x:c r="D7" s="31" t="n">
        <x:v>6169848.7</x:v>
      </x:c>
      <x:c r="E7" s="31" t="n">
        <x:v>-2105785.72</x:v>
      </x:c>
      <x:c r="F7" s="31" t="n">
        <x:v>16084308.48</x:v>
      </x:c>
      <x:c r="G7" s="31" t="n">
        <x:v>15394756.38</x:v>
      </x:c>
      <x:c r="H7" s="31" t="n">
        <x:v>902377.77</x:v>
      </x:c>
      <x:c r="I7" s="31" t="n">
        <x:v>72342</x:v>
      </x:c>
      <x:c r="J7" s="31" t="n">
        <x:v>13536.67</x:v>
      </x:c>
      <x:c r="K7" s="32" t="n">
        <x:v>3.6</x:v>
      </x:c>
      <x:c r="L7" s="31"/>
      <x:c r="M7" s="31"/>
      <x:c r="N7" s="31" t="n">
        <x:v>903293.43</x:v>
      </x:c>
      <x:c r="O7" s="31" t="n">
        <x:v>6054543.81</x:v>
      </x:c>
      <x:c r="P7" s="31"/>
      <x:c r="Q7" s="31"/>
      <x:c r="R7" s="31"/>
      <x:c r="S7" s="31"/>
      <x:c r="T7" s="31"/>
      <x:c r="U7" s="33"/>
    </x:row>
    <x:row r="8">
      <x:c r="A8" s="29" t="str">
        <x:v>Overview</x:v>
      </x:c>
      <x:c r="B8" s="30" t="d">
        <x:v>2026-07-01T00:00:00.000Z</x:v>
      </x:c>
      <x:c r="C8" s="31" t="n">
        <x:v>10856316.3</x:v>
      </x:c>
      <x:c r="D8" s="31" t="n">
        <x:v>8809866.3</x:v>
      </x:c>
      <x:c r="E8" s="31" t="n">
        <x:v>-12417361.8</x:v>
      </x:c>
      <x:c r="F8" s="31" t="n">
        <x:v>8176573.14</x:v>
      </x:c>
      <x:c r="G8" s="31" t="n">
        <x:v>23019949.45</x:v>
      </x:c>
      <x:c r="H8" s="31" t="n">
        <x:v>4961597.45</x:v>
      </x:c>
      <x:c r="I8" s="31" t="n">
        <x:v>71445</x:v>
      </x:c>
      <x:c r="J8" s="31" t="n">
        <x:v>335449.49</x:v>
      </x:c>
      <x:c r="K8" s="32" t="n">
        <x:v>5.1</x:v>
      </x:c>
      <x:c r="L8" s="31"/>
      <x:c r="M8" s="31"/>
      <x:c r="N8" s="31" t="n">
        <x:v>912287.49</x:v>
      </x:c>
      <x:c r="O8" s="31" t="n">
        <x:v>10022147</x:v>
      </x:c>
      <x:c r="P8" s="31"/>
      <x:c r="Q8" s="31" t="n">
        <x:v>23500000</x:v>
      </x:c>
      <x:c r="R8" s="31"/>
      <x:c r="S8" s="31" t="n">
        <x:v>500000</x:v>
      </x:c>
      <x:c r="T8" s="31"/>
      <x:c r="U8" s="33"/>
    </x:row>
    <x:row r="9">
      <x:c r="A9" s="29" t="str">
        <x:v>Overview</x:v>
      </x:c>
      <x:c r="B9" s="30" t="d">
        <x:v>2026-08-01T00:00:00.000Z</x:v>
      </x:c>
      <x:c r="C9" s="31" t="n">
        <x:v>14180649.1</x:v>
      </x:c>
      <x:c r="D9" s="31" t="n">
        <x:v>10318620.1</x:v>
      </x:c>
      <x:c r="E9" s="31" t="n">
        <x:v>-14152416.57</x:v>
      </x:c>
      <x:c r="F9" s="31" t="n">
        <x:v>10048037.84</x:v>
      </x:c>
      <x:c r="G9" s="31" t="n">
        <x:v>28788110.22</x:v>
      </x:c>
      <x:c r="H9" s="31" t="n">
        <x:v>10616051.44</x:v>
      </x:c>
      <x:c r="I9" s="31" t="n">
        <x:v>74850</x:v>
      </x:c>
      <x:c r="J9" s="31" t="n">
        <x:v>446381.36</x:v>
      </x:c>
      <x:c r="K9" s="32" t="n">
        <x:v>14.2</x:v>
      </x:c>
      <x:c r="L9" s="31"/>
      <x:c r="M9" s="31" t="n">
        <x:v>588851.2</x:v>
      </x:c>
      <x:c r="N9" s="31" t="n">
        <x:v>1571956.68</x:v>
      </x:c>
      <x:c r="O9" s="31" t="n">
        <x:v>13626516.2</x:v>
      </x:c>
      <x:c r="P9" s="31"/>
      <x:c r="Q9" s="31" t="n">
        <x:v>25000000</x:v>
      </x:c>
      <x:c r="R9" s="31"/>
      <x:c r="S9" s="31" t="n">
        <x:v>931507</x:v>
      </x:c>
      <x:c r="T9" s="31"/>
      <x:c r="U9" s="33"/>
    </x:row>
    <x:row r="10">
      <x:c r="A10" s="29" t="str">
        <x:v>Overview</x:v>
      </x:c>
      <x:c r="B10" s="30" t="d">
        <x:v>2026-09-01T00:00:00.000Z</x:v>
      </x:c>
      <x:c r="C10" s="31" t="n">
        <x:v>13443954.98</x:v>
      </x:c>
      <x:c r="D10" s="31" t="n">
        <x:v>10972554.98</x:v>
      </x:c>
      <x:c r="E10" s="31" t="n">
        <x:v>-7424061.83</x:v>
      </x:c>
      <x:c r="F10" s="31" t="n">
        <x:v>15148690.19</x:v>
      </x:c>
      <x:c r="G10" s="31" t="n">
        <x:v>23836738.2</x:v>
      </x:c>
      <x:c r="H10" s="31" t="n">
        <x:v>493658.78</x:v>
      </x:c>
      <x:c r="I10" s="31" t="n">
        <x:v>67652</x:v>
      </x:c>
      <x:c r="J10" s="31" t="n">
        <x:v>2130360</x:v>
      </x:c>
      <x:c r="K10" s="32" t="n">
        <x:v>6.1</x:v>
      </x:c>
      <x:c r="L10" s="31"/>
      <x:c r="M10" s="31" t="n">
        <x:v>579808</x:v>
      </x:c>
      <x:c r="N10" s="31" t="n">
        <x:v>1257911.57</x:v>
      </x:c>
      <x:c r="O10" s="31" t="n">
        <x:v>17456865.67</x:v>
      </x:c>
      <x:c r="P10" s="31" t="n">
        <x:v>53277741</x:v>
      </x:c>
      <x:c r="Q10" s="31"/>
      <x:c r="R10" s="31"/>
      <x:c r="S10" s="31" t="n">
        <x:v>927140</x:v>
      </x:c>
      <x:c r="T10" s="31" t="n">
        <x:v>19132783.41</x:v>
      </x:c>
      <x:c r="U10" s="33"/>
    </x:row>
    <x:row r="11">
      <x:c r="A11" s="29" t="str">
        <x:v>Diaspora Tutoring</x:v>
      </x:c>
      <x:c r="B11" s="30" t="d">
        <x:v>2026-01-01T00:00:00.000Z</x:v>
      </x:c>
      <x:c r="C11" s="31" t="n">
        <x:v>6088306.76</x:v>
      </x:c>
      <x:c r="D11" s="31" t="n">
        <x:v>3391703.96</x:v>
      </x:c>
      <x:c r="E11" s="31"/>
      <x:c r="F11" s="31" t="n">
        <x:v>9371804.59</x:v>
      </x:c>
      <x:c r="G11" s="31"/>
      <x:c r="H11" s="31" t="n">
        <x:v>65737.6</x:v>
      </x:c>
      <x:c r="I11" s="31" t="n">
        <x:v>31</x:v>
      </x:c>
      <x:c r="J11" s="31"/>
      <x:c r="K11" s="32"/>
      <x:c r="L11" s="31"/>
      <x:c r="M11" s="31"/>
      <x:c r="N11" s="31"/>
      <x:c r="O11" s="31"/>
      <x:c r="P11" s="31"/>
      <x:c r="Q11" s="31"/>
      <x:c r="R11" s="31"/>
      <x:c r="S11" s="31"/>
      <x:c r="T11" s="31"/>
      <x:c r="U11" s="33"/>
    </x:row>
    <x:row r="12">
      <x:c r="A12" s="29" t="str">
        <x:v>Diaspora Tutoring</x:v>
      </x:c>
      <x:c r="B12" s="30" t="d">
        <x:v>2026-02-01T00:00:00.000Z</x:v>
      </x:c>
      <x:c r="C12" s="31" t="n">
        <x:v>5872348.1</x:v>
      </x:c>
      <x:c r="D12" s="31" t="n">
        <x:v>1002548.1</x:v>
      </x:c>
      <x:c r="E12" s="31"/>
      <x:c r="F12" s="31" t="n">
        <x:v>14706106.26</x:v>
      </x:c>
      <x:c r="G12" s="31"/>
      <x:c r="H12" s="31" t="n">
        <x:v>344551.93</x:v>
      </x:c>
      <x:c r="I12" s="31" t="n">
        <x:v>32</x:v>
      </x:c>
      <x:c r="J12" s="31" t="n">
        <x:v>1158086.58</x:v>
      </x:c>
      <x:c r="K12" s="32" t="n">
        <x:v>6.5</x:v>
      </x:c>
      <x:c r="L12" s="31"/>
      <x:c r="M12" s="31"/>
      <x:c r="N12" s="31"/>
      <x:c r="O12" s="31"/>
      <x:c r="P12" s="31"/>
      <x:c r="Q12" s="31"/>
      <x:c r="R12" s="31"/>
      <x:c r="S12" s="31"/>
      <x:c r="T12" s="31"/>
      <x:c r="U12" s="33"/>
    </x:row>
    <x:row r="13">
      <x:c r="A13" s="29" t="str">
        <x:v>Diaspora Tutoring</x:v>
      </x:c>
      <x:c r="B13" s="30" t="d">
        <x:v>2026-03-01T00:00:00.000Z</x:v>
      </x:c>
      <x:c r="C13" s="31" t="n">
        <x:v>6727105.16</x:v>
      </x:c>
      <x:c r="D13" s="31" t="n">
        <x:v>60938.36</x:v>
      </x:c>
      <x:c r="E13" s="31"/>
      <x:c r="F13" s="31" t="n">
        <x:v>17217792.41</x:v>
      </x:c>
      <x:c r="G13" s="31"/>
      <x:c r="H13" s="31" t="n">
        <x:v>121379.65</x:v>
      </x:c>
      <x:c r="I13" s="31" t="n">
        <x:v>35</x:v>
      </x:c>
      <x:c r="J13" s="31" t="n">
        <x:v>10139.94</x:v>
      </x:c>
      <x:c r="K13" s="32" t="n">
        <x:v>3.1</x:v>
      </x:c>
      <x:c r="L13" s="31"/>
      <x:c r="M13" s="31"/>
      <x:c r="N13" s="31" t="n">
        <x:v>28903.57</x:v>
      </x:c>
      <x:c r="O13" s="31"/>
      <x:c r="P13" s="31"/>
      <x:c r="Q13" s="31"/>
      <x:c r="R13" s="31"/>
      <x:c r="S13" s="31"/>
      <x:c r="T13" s="31"/>
      <x:c r="U13" s="33"/>
    </x:row>
    <x:row r="14">
      <x:c r="A14" s="29" t="str">
        <x:v>Diaspora Tutoring</x:v>
      </x:c>
      <x:c r="B14" s="30" t="d">
        <x:v>2026-04-01T00:00:00.000Z</x:v>
      </x:c>
      <x:c r="C14" s="31" t="n">
        <x:v>7136884.1</x:v>
      </x:c>
      <x:c r="D14" s="31" t="n">
        <x:v>2980771.7</x:v>
      </x:c>
      <x:c r="E14" s="31"/>
      <x:c r="F14" s="31" t="n">
        <x:v>14201937.2</x:v>
      </x:c>
      <x:c r="G14" s="31"/>
      <x:c r="H14" s="31" t="n">
        <x:v>4808.2</x:v>
      </x:c>
      <x:c r="I14" s="31" t="n">
        <x:v>39</x:v>
      </x:c>
      <x:c r="J14" s="31"/>
      <x:c r="K14" s="32" t="n">
        <x:v>0</x:v>
      </x:c>
      <x:c r="L14" s="31"/>
      <x:c r="M14" s="31"/>
      <x:c r="N14" s="31" t="n">
        <x:v>360360.41</x:v>
      </x:c>
      <x:c r="O14" s="31"/>
      <x:c r="P14" s="31"/>
      <x:c r="Q14" s="31"/>
      <x:c r="R14" s="31"/>
      <x:c r="S14" s="31"/>
      <x:c r="T14" s="31"/>
      <x:c r="U14" s="33"/>
    </x:row>
    <x:row r="15">
      <x:c r="A15" s="29" t="str">
        <x:v>Diaspora Tutoring</x:v>
      </x:c>
      <x:c r="B15" s="30" t="d">
        <x:v>2026-05-01T00:00:00.000Z</x:v>
      </x:c>
      <x:c r="C15" s="31" t="n">
        <x:v>7853466.39</x:v>
      </x:c>
      <x:c r="D15" s="31" t="n">
        <x:v>7062466.39</x:v>
      </x:c>
      <x:c r="E15" s="31"/>
      <x:c r="F15" s="31" t="n">
        <x:v>13437726.09</x:v>
      </x:c>
      <x:c r="G15" s="31"/>
      <x:c r="H15" s="31" t="n">
        <x:v>10533.8</x:v>
      </x:c>
      <x:c r="I15" s="31" t="n">
        <x:v>41</x:v>
      </x:c>
      <x:c r="J15" s="31"/>
      <x:c r="K15" s="32" t="n">
        <x:v>7.7</x:v>
      </x:c>
      <x:c r="L15" s="31"/>
      <x:c r="M15" s="31"/>
      <x:c r="N15" s="31" t="n">
        <x:v>916069.99</x:v>
      </x:c>
      <x:c r="O15" s="31" t="n">
        <x:v>229424.22</x:v>
      </x:c>
      <x:c r="P15" s="31"/>
      <x:c r="Q15" s="31"/>
      <x:c r="R15" s="31"/>
      <x:c r="S15" s="31"/>
      <x:c r="T15" s="31"/>
      <x:c r="U15" s="33"/>
    </x:row>
    <x:row r="16">
      <x:c r="A16" s="29" t="str">
        <x:v>Diaspora Tutoring</x:v>
      </x:c>
      <x:c r="B16" s="30" t="d">
        <x:v>2026-06-01T00:00:00.000Z</x:v>
      </x:c>
      <x:c r="C16" s="31" t="n">
        <x:v>7645119.7</x:v>
      </x:c>
      <x:c r="D16" s="31" t="n">
        <x:v>3524289.7</x:v>
      </x:c>
      <x:c r="E16" s="31"/>
      <x:c r="F16" s="31" t="n">
        <x:v>10643411.66</x:v>
      </x:c>
      <x:c r="G16" s="31"/>
      <x:c r="H16" s="31" t="n">
        <x:v>15670.67</x:v>
      </x:c>
      <x:c r="I16" s="31" t="n">
        <x:v>42</x:v>
      </x:c>
      <x:c r="J16" s="31" t="n">
        <x:v>13536.67</x:v>
      </x:c>
      <x:c r="K16" s="32" t="n">
        <x:v>4.9</x:v>
      </x:c>
      <x:c r="L16" s="31"/>
      <x:c r="M16" s="31"/>
      <x:c r="N16" s="31" t="n">
        <x:v>903293.43</x:v>
      </x:c>
      <x:c r="O16" s="31" t="n">
        <x:v>139847.81</x:v>
      </x:c>
      <x:c r="P16" s="31"/>
      <x:c r="Q16" s="31"/>
      <x:c r="R16" s="31"/>
      <x:c r="S16" s="31"/>
      <x:c r="T16" s="31"/>
      <x:c r="U16" s="33"/>
    </x:row>
    <x:row r="17">
      <x:c r="A17" s="29" t="str">
        <x:v>Diaspora Tutoring</x:v>
      </x:c>
      <x:c r="B17" s="30" t="d">
        <x:v>2026-07-01T00:00:00.000Z</x:v>
      </x:c>
      <x:c r="C17" s="31" t="n">
        <x:v>8430301.8</x:v>
      </x:c>
      <x:c r="D17" s="31" t="n">
        <x:v>6383851.8</x:v>
      </x:c>
      <x:c r="E17" s="31"/>
      <x:c r="F17" s="31" t="n">
        <x:v>8176573.14</x:v>
      </x:c>
      <x:c r="G17" s="31"/>
      <x:c r="H17" s="31" t="n">
        <x:v>194090.94</x:v>
      </x:c>
      <x:c r="I17" s="31" t="n">
        <x:v>45</x:v>
      </x:c>
      <x:c r="J17" s="31" t="n">
        <x:v>335449.49</x:v>
      </x:c>
      <x:c r="K17" s="32" t="n">
        <x:v>2.4</x:v>
      </x:c>
      <x:c r="L17" s="31"/>
      <x:c r="M17" s="31"/>
      <x:c r="N17" s="31" t="n">
        <x:v>912287.49</x:v>
      </x:c>
      <x:c r="O17" s="31" t="n">
        <x:v>1681436.5</x:v>
      </x:c>
      <x:c r="P17" s="31"/>
      <x:c r="Q17" s="31"/>
      <x:c r="R17" s="31"/>
      <x:c r="S17" s="31"/>
      <x:c r="T17" s="31"/>
      <x:c r="U17" s="33"/>
    </x:row>
    <x:row r="18">
      <x:c r="A18" s="29" t="str">
        <x:v>Diaspora Tutoring</x:v>
      </x:c>
      <x:c r="B18" s="30" t="d">
        <x:v>2026-08-01T00:00:00.000Z</x:v>
      </x:c>
      <x:c r="C18" s="31" t="n">
        <x:v>9592993.3</x:v>
      </x:c>
      <x:c r="D18" s="31" t="n">
        <x:v>5730964.3</x:v>
      </x:c>
      <x:c r="E18" s="31"/>
      <x:c r="F18" s="31" t="n">
        <x:v>10048037.84</x:v>
      </x:c>
      <x:c r="G18" s="31"/>
      <x:c r="H18" s="31" t="n">
        <x:v>673086.07</x:v>
      </x:c>
      <x:c r="I18" s="31" t="n">
        <x:v>50</x:v>
      </x:c>
      <x:c r="J18" s="31" t="n">
        <x:v>446381.36</x:v>
      </x:c>
      <x:c r="K18" s="32" t="n">
        <x:v>0</x:v>
      </x:c>
      <x:c r="L18" s="31"/>
      <x:c r="M18" s="31" t="n">
        <x:v>588851.2</x:v>
      </x:c>
      <x:c r="N18" s="31" t="n">
        <x:v>1571956.68</x:v>
      </x:c>
      <x:c r="O18" s="31" t="n">
        <x:v>698149.9</x:v>
      </x:c>
      <x:c r="P18" s="31"/>
      <x:c r="Q18" s="31"/>
      <x:c r="R18" s="31"/>
      <x:c r="S18" s="31"/>
      <x:c r="T18" s="31"/>
      <x:c r="U18" s="33"/>
    </x:row>
    <x:row r="19">
      <x:c r="A19" s="29" t="str">
        <x:v>Diaspora Tutoring</x:v>
      </x:c>
      <x:c r="B19" s="30" t="d">
        <x:v>2026-09-01T00:00:00.000Z</x:v>
      </x:c>
      <x:c r="C19" s="31" t="n">
        <x:v>9772440.98</x:v>
      </x:c>
      <x:c r="D19" s="31" t="n">
        <x:v>7301040.98</x:v>
      </x:c>
      <x:c r="E19" s="31"/>
      <x:c r="F19" s="31" t="n">
        <x:v>12741162.37</x:v>
      </x:c>
      <x:c r="G19" s="31"/>
      <x:c r="H19" s="31" t="n">
        <x:v>44660.47</x:v>
      </x:c>
      <x:c r="I19" s="31" t="n">
        <x:v>52</x:v>
      </x:c>
      <x:c r="J19" s="31" t="n">
        <x:v>2130360</x:v>
      </x:c>
      <x:c r="K19" s="32" t="n">
        <x:v>4</x:v>
      </x:c>
      <x:c r="L19" s="31"/>
      <x:c r="M19" s="31" t="n">
        <x:v>579808</x:v>
      </x:c>
      <x:c r="N19" s="31" t="n">
        <x:v>1257911.57</x:v>
      </x:c>
      <x:c r="O19" s="31" t="n">
        <x:v>3264513.19</x:v>
      </x:c>
      <x:c r="P19" s="31"/>
      <x:c r="Q19" s="31"/>
      <x:c r="R19" s="31"/>
      <x:c r="S19" s="31"/>
      <x:c r="T19" s="31"/>
      <x:c r="U19" s="33"/>
    </x:row>
    <x:row r="20">
      <x:c r="A20" s="29" t="str">
        <x:v>Partnership</x:v>
      </x:c>
      <x:c r="B20" s="30" t="d">
        <x:v>2026-01-01T00:00:00.000Z</x:v>
      </x:c>
      <x:c r="C20" s="31" t="n">
        <x:v>4112976</x:v>
      </x:c>
      <x:c r="D20" s="31" t="n">
        <x:v>4112976</x:v>
      </x:c>
      <x:c r="E20" s="31" t="n">
        <x:v>4112976</x:v>
      </x:c>
      <x:c r="F20" s="31" t="n">
        <x:v>0</x:v>
      </x:c>
      <x:c r="G20" s="31" t="n">
        <x:v>0</x:v>
      </x:c>
      <x:c r="H20" s="31"/>
      <x:c r="I20" s="31" t="n">
        <x:v>101300</x:v>
      </x:c>
      <x:c r="J20" s="31"/>
      <x:c r="K20" s="32" t="n">
        <x:v>9.5</x:v>
      </x:c>
      <x:c r="L20" s="31"/>
      <x:c r="M20" s="31"/>
      <x:c r="N20" s="31"/>
      <x:c r="O20" s="31" t="n">
        <x:v>4112976</x:v>
      </x:c>
      <x:c r="P20" s="31"/>
      <x:c r="Q20" s="31"/>
      <x:c r="R20" s="31"/>
      <x:c r="S20" s="31"/>
      <x:c r="T20" s="31"/>
      <x:c r="U20" s="33"/>
    </x:row>
    <x:row r="21">
      <x:c r="A21" s="29" t="str">
        <x:v>Partnership</x:v>
      </x:c>
      <x:c r="B21" s="30" t="d">
        <x:v>2026-02-01T00:00:00.000Z</x:v>
      </x:c>
      <x:c r="C21" s="31" t="n">
        <x:v>3438981</x:v>
      </x:c>
      <x:c r="D21" s="31" t="n">
        <x:v>3438981</x:v>
      </x:c>
      <x:c r="E21" s="31" t="n">
        <x:v>3438981</x:v>
      </x:c>
      <x:c r="F21" s="31" t="n">
        <x:v>5606750.84</x:v>
      </x:c>
      <x:c r="G21" s="31" t="n">
        <x:v>0</x:v>
      </x:c>
      <x:c r="H21" s="31"/>
      <x:c r="I21" s="31" t="n">
        <x:v>101800</x:v>
      </x:c>
      <x:c r="J21" s="31"/>
      <x:c r="K21" s="32" t="n">
        <x:v>7.5</x:v>
      </x:c>
      <x:c r="L21" s="31"/>
      <x:c r="M21" s="31"/>
      <x:c r="N21" s="31"/>
      <x:c r="O21" s="31" t="n">
        <x:v>1945206.16</x:v>
      </x:c>
      <x:c r="P21" s="31"/>
      <x:c r="Q21" s="31"/>
      <x:c r="R21" s="31"/>
      <x:c r="S21" s="31"/>
      <x:c r="T21" s="31"/>
      <x:c r="U21" s="33"/>
    </x:row>
    <x:row r="22">
      <x:c r="A22" s="29" t="str">
        <x:v>Partnership</x:v>
      </x:c>
      <x:c r="B22" s="30" t="d">
        <x:v>2026-03-01T00:00:00.000Z</x:v>
      </x:c>
      <x:c r="C22" s="31" t="n">
        <x:v>3532620</x:v>
      </x:c>
      <x:c r="D22" s="31" t="n">
        <x:v>3532620</x:v>
      </x:c>
      <x:c r="E22" s="31" t="n">
        <x:v>3532620</x:v>
      </x:c>
      <x:c r="F22" s="31" t="n">
        <x:v>0</x:v>
      </x:c>
      <x:c r="G22" s="31" t="n">
        <x:v>0</x:v>
      </x:c>
      <x:c r="H22" s="31"/>
      <x:c r="I22" s="31" t="n">
        <x:v>49700</x:v>
      </x:c>
      <x:c r="J22" s="31"/>
      <x:c r="K22" s="32" t="n">
        <x:v>5.1</x:v>
      </x:c>
      <x:c r="L22" s="31"/>
      <x:c r="M22" s="31"/>
      <x:c r="N22" s="31"/>
      <x:c r="O22" s="31" t="n">
        <x:v>5477826.16</x:v>
      </x:c>
      <x:c r="P22" s="31"/>
      <x:c r="Q22" s="31"/>
      <x:c r="R22" s="31"/>
      <x:c r="S22" s="31"/>
      <x:c r="T22" s="31"/>
      <x:c r="U22" s="33"/>
    </x:row>
    <x:row r="23">
      <x:c r="A23" s="29" t="str">
        <x:v>Partnership</x:v>
      </x:c>
      <x:c r="B23" s="30" t="d">
        <x:v>2026-04-01T00:00:00.000Z</x:v>
      </x:c>
      <x:c r="C23" s="31" t="n">
        <x:v>3277186.5</x:v>
      </x:c>
      <x:c r="D23" s="31" t="n">
        <x:v>3277186.5</x:v>
      </x:c>
      <x:c r="E23" s="31" t="n">
        <x:v>3277186.5</x:v>
      </x:c>
      <x:c r="F23" s="31" t="n">
        <x:v>3454087.34</x:v>
      </x:c>
      <x:c r="G23" s="31" t="n">
        <x:v>0</x:v>
      </x:c>
      <x:c r="H23" s="31"/>
      <x:c r="I23" s="31" t="n">
        <x:v>84800</x:v>
      </x:c>
      <x:c r="J23" s="31"/>
      <x:c r="K23" s="32" t="n">
        <x:v>6.3</x:v>
      </x:c>
      <x:c r="L23" s="31"/>
      <x:c r="M23" s="31"/>
      <x:c r="N23" s="31"/>
      <x:c r="O23" s="31" t="n">
        <x:v>5300925.32</x:v>
      </x:c>
      <x:c r="P23" s="31"/>
      <x:c r="Q23" s="31"/>
      <x:c r="R23" s="31"/>
      <x:c r="S23" s="31"/>
      <x:c r="T23" s="31"/>
      <x:c r="U23" s="33"/>
    </x:row>
    <x:row r="24">
      <x:c r="A24" s="29" t="str">
        <x:v>Partnership</x:v>
      </x:c>
      <x:c r="B24" s="30" t="d">
        <x:v>2026-05-01T00:00:00.000Z</x:v>
      </x:c>
      <x:c r="C24" s="31" t="n">
        <x:v>3409108.5</x:v>
      </x:c>
      <x:c r="D24" s="31" t="n">
        <x:v>3409108.5</x:v>
      </x:c>
      <x:c r="E24" s="31" t="n">
        <x:v>3409108.5</x:v>
      </x:c>
      <x:c r="F24" s="31" t="n">
        <x:v>0</x:v>
      </x:c>
      <x:c r="G24" s="31" t="n">
        <x:v>0</x:v>
      </x:c>
      <x:c r="H24" s="31"/>
      <x:c r="I24" s="31" t="n">
        <x:v>83000</x:v>
      </x:c>
      <x:c r="J24" s="31"/>
      <x:c r="K24" s="32" t="n">
        <x:v>4.5</x:v>
      </x:c>
      <x:c r="L24" s="31"/>
      <x:c r="M24" s="31"/>
      <x:c r="N24" s="31"/>
      <x:c r="O24" s="31" t="n">
        <x:v>8710033.82</x:v>
      </x:c>
      <x:c r="P24" s="31"/>
      <x:c r="Q24" s="31"/>
      <x:c r="R24" s="31"/>
      <x:c r="S24" s="31"/>
      <x:c r="T24" s="31"/>
      <x:c r="U24" s="33"/>
    </x:row>
    <x:row r="25">
      <x:c r="A25" s="29" t="str">
        <x:v>Partnership</x:v>
      </x:c>
      <x:c r="B25" s="30" t="d">
        <x:v>2026-06-01T00:00:00.000Z</x:v>
      </x:c>
      <x:c r="C25" s="31" t="n">
        <x:v>2645559</x:v>
      </x:c>
      <x:c r="D25" s="31" t="n">
        <x:v>2645559</x:v>
      </x:c>
      <x:c r="E25" s="31" t="n">
        <x:v>2645559</x:v>
      </x:c>
      <x:c r="F25" s="31" t="n">
        <x:v>5440896.82</x:v>
      </x:c>
      <x:c r="G25" s="31" t="n">
        <x:v>0</x:v>
      </x:c>
      <x:c r="H25" s="31"/>
      <x:c r="I25" s="31" t="n">
        <x:v>72300</x:v>
      </x:c>
      <x:c r="J25" s="31"/>
      <x:c r="K25" s="32" t="n">
        <x:v>3.6</x:v>
      </x:c>
      <x:c r="L25" s="31"/>
      <x:c r="M25" s="31"/>
      <x:c r="N25" s="31"/>
      <x:c r="O25" s="31" t="n">
        <x:v>5914696</x:v>
      </x:c>
      <x:c r="P25" s="31"/>
      <x:c r="Q25" s="31"/>
      <x:c r="R25" s="31"/>
      <x:c r="S25" s="31"/>
      <x:c r="T25" s="31"/>
      <x:c r="U25" s="33"/>
    </x:row>
    <x:row r="26">
      <x:c r="A26" s="29" t="str">
        <x:v>Partnership</x:v>
      </x:c>
      <x:c r="B26" s="30" t="d">
        <x:v>2026-07-01T00:00:00.000Z</x:v>
      </x:c>
      <x:c r="C26" s="31" t="n">
        <x:v>2426014.5</x:v>
      </x:c>
      <x:c r="D26" s="31" t="n">
        <x:v>2426014.5</x:v>
      </x:c>
      <x:c r="E26" s="31" t="n">
        <x:v>426014.5</x:v>
      </x:c>
      <x:c r="F26" s="31" t="n">
        <x:v>0</x:v>
      </x:c>
      <x:c r="G26" s="31" t="n">
        <x:v>2000000</x:v>
      </x:c>
      <x:c r="H26" s="31"/>
      <x:c r="I26" s="31" t="n">
        <x:v>71400</x:v>
      </x:c>
      <x:c r="J26" s="31"/>
      <x:c r="K26" s="32" t="n">
        <x:v>5.1</x:v>
      </x:c>
      <x:c r="L26" s="31"/>
      <x:c r="M26" s="31"/>
      <x:c r="N26" s="31"/>
      <x:c r="O26" s="31" t="n">
        <x:v>8340710.5</x:v>
      </x:c>
      <x:c r="P26" s="31"/>
      <x:c r="Q26" s="31"/>
      <x:c r="R26" s="31"/>
      <x:c r="S26" s="31"/>
      <x:c r="T26" s="31"/>
      <x:c r="U26" s="33"/>
    </x:row>
    <x:row r="27">
      <x:c r="A27" s="29" t="str">
        <x:v>Partnership</x:v>
      </x:c>
      <x:c r="B27" s="30" t="d">
        <x:v>2026-08-01T00:00:00.000Z</x:v>
      </x:c>
      <x:c r="C27" s="31" t="n">
        <x:v>4587655.8</x:v>
      </x:c>
      <x:c r="D27" s="31" t="n">
        <x:v>4587655.8</x:v>
      </x:c>
      <x:c r="E27" s="31" t="n">
        <x:v>1587655.8</x:v>
      </x:c>
      <x:c r="F27" s="31" t="n">
        <x:v>0</x:v>
      </x:c>
      <x:c r="G27" s="31" t="n">
        <x:v>3000000</x:v>
      </x:c>
      <x:c r="H27" s="31"/>
      <x:c r="I27" s="31" t="n">
        <x:v>74800</x:v>
      </x:c>
      <x:c r="J27" s="31"/>
      <x:c r="K27" s="32" t="n">
        <x:v>14.2</x:v>
      </x:c>
      <x:c r="L27" s="31"/>
      <x:c r="M27" s="31"/>
      <x:c r="N27" s="31"/>
      <x:c r="O27" s="31" t="n">
        <x:v>12928366.3</x:v>
      </x:c>
      <x:c r="P27" s="31"/>
      <x:c r="Q27" s="31"/>
      <x:c r="R27" s="31"/>
      <x:c r="S27" s="31"/>
      <x:c r="T27" s="31"/>
      <x:c r="U27" s="33"/>
    </x:row>
    <x:row r="28">
      <x:c r="A28" s="34" t="str">
        <x:v>Partnership</x:v>
      </x:c>
      <x:c r="B28" s="35" t="d">
        <x:v>2026-09-01T00:00:00.000Z</x:v>
      </x:c>
      <x:c r="C28" s="36" t="n">
        <x:v>3671514</x:v>
      </x:c>
      <x:c r="D28" s="36" t="n">
        <x:v>3671514</x:v>
      </x:c>
      <x:c r="E28" s="36" t="n">
        <x:v>3671514</x:v>
      </x:c>
      <x:c r="F28" s="36" t="n">
        <x:v>2407527.82</x:v>
      </x:c>
      <x:c r="G28" s="36" t="n">
        <x:v>0</x:v>
      </x:c>
      <x:c r="H28" s="36"/>
      <x:c r="I28" s="36" t="n">
        <x:v>67600</x:v>
      </x:c>
      <x:c r="J28" s="36"/>
      <x:c r="K28" s="37" t="n">
        <x:v>6.1</x:v>
      </x:c>
      <x:c r="L28" s="36"/>
      <x:c r="M28" s="36"/>
      <x:c r="N28" s="36"/>
      <x:c r="O28" s="36" t="n">
        <x:v>14192352.48</x:v>
      </x:c>
      <x:c r="P28" s="36"/>
      <x:c r="Q28" s="36"/>
      <x:c r="R28" s="36"/>
      <x:c r="S28" s="36"/>
      <x:c r="T28" s="36"/>
      <x:c r="U28" s="3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AD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2" hidden="0" customWidth="1"/>
  </x:cols>
  <x:sheetData>
    <x:row r="1">
      <x:c r="A1" s="41" t="str">
        <x:v>Business Unit</x:v>
      </x:c>
      <x:c r="B1" s="41" t="str">
        <x:v>Date</x:v>
      </x:c>
      <x:c r="C1" s="41" t="str">
        <x:v>MRR</x:v>
      </x:c>
      <x:c r="D1" s="41" t="str">
        <x:v>Gross Margin</x:v>
      </x:c>
      <x:c r="E1" s="41" t="str">
        <x:v>Net Margin</x:v>
      </x:c>
      <x:c r="F1" s="41" t="str">
        <x:v>ARPPU</x:v>
      </x:c>
      <x:c r="G1" s="41" t="str">
        <x:v>CAC</x:v>
      </x:c>
      <x:c r="H1" s="41" t="str">
        <x:v>Churn Rate</x:v>
      </x:c>
      <x:c r="I1" s="41" t="str">
        <x:v>LTV</x:v>
      </x:c>
      <x:c r="J1" s="41" t="str">
        <x:v>LTV/CAC</x:v>
      </x:c>
      <x:c r="K1" s="41" t="str">
        <x:v>CAC Payback (Months)</x:v>
      </x:c>
      <x:c r="L1" s="41" t="str">
        <x:v>Organic Sales %</x:v>
      </x:c>
      <x:c r="M1" s="41" t="str">
        <x:v>Referral Rate</x:v>
      </x:c>
      <x:c r="N1" s="41" t="str">
        <x:v>Total Sales</x:v>
      </x:c>
      <x:c r="O1" s="41" t="str">
        <x:v>Data Status</x:v>
      </x:c>
    </x:row>
    <x:row r="2">
      <x:c r="A2" s="18" t="str">
        <x:f>'Monthly Input'!A2</x:f>
        <x:v>Overview</x:v>
      </x:c>
      <x:c r="B2" s="19" t="n">
        <x:f>'Monthly Input'!B2</x:f>
        <x:v>46023</x:v>
      </x:c>
      <x:c r="C2" s="42" t="n">
        <x:f>'Monthly Input'!C2</x:f>
        <x:v>10201282.76</x:v>
      </x:c>
      <x:c r="D2" s="21" t="n">
        <x:f>IFERROR('Monthly Input'!D2/'Monthly Input'!C2,"")</x:f>
        <x:v>0.7356604200234913</x:v>
      </x:c>
      <x:c r="E2" s="21" t="n">
        <x:f>IFERROR('Monthly Input'!E2/'Monthly Input'!C2,"")</x:f>
        <x:v>-2.025030577625122</x:v>
      </x:c>
      <x:c r="F2" s="42" t="n">
        <x:f>IFERROR('Monthly Input'!C2/'Monthly Input'!I2,"")</x:f>
        <x:v>100.67287167796627</x:v>
      </x:c>
      <x:c r="G2" s="42" t="n">
        <x:f>'Monthly Input'!J2</x:f>
        <x:v>0</x:v>
      </x:c>
      <x:c r="H2" s="21" t="n">
        <x:f>'Monthly Input'!K2/100</x:f>
        <x:v>0.095</x:v>
      </x:c>
      <x:c r="I2" s="42" t="n">
        <x:f>IFERROR((F2*D2)/H2,"")</x:f>
        <x:v>779.5899690903549</x:v>
      </x:c>
      <x:c r="J2" s="43" t="str">
        <x:f>IFERROR(I2/G2,"")</x:f>
      </x:c>
      <x:c r="K2" s="44" t="n">
        <x:f>IFERROR(G2/(F2*D2),"")</x:f>
        <x:v>0</x:v>
      </x:c>
      <x:c r="L2" s="42" t="str">
        <x:f>IFERROR('Monthly Input'!L2/SUM('Monthly Input'!L2:N2),"")</x:f>
      </x:c>
      <x:c r="M2" s="21" t="str">
        <x:f>IFERROR('Monthly Input'!N2/SUM('Monthly Input'!L2:N2),"")</x:f>
      </x:c>
      <x:c r="N2" s="21" t="n">
        <x:f>SUM('Monthly Input'!L2:N2)</x:f>
        <x:v>0</x:v>
      </x:c>
      <x:c r="O2" s="18" t="str">
        <x:f>IF(OR(A2="",B2="",C2=""),"Missing required data","Ready")</x:f>
        <x:v>Ready</x:v>
      </x:c>
    </x:row>
    <x:row r="3">
      <x:c r="A3" s="18" t="str">
        <x:f>'Monthly Input'!A3</x:f>
        <x:v>Overview</x:v>
      </x:c>
      <x:c r="B3" s="19" t="n">
        <x:f>'Monthly Input'!B3</x:f>
        <x:v>46054</x:v>
      </x:c>
      <x:c r="C3" s="42" t="n">
        <x:f>'Monthly Input'!C3</x:f>
        <x:v>9311329.1</x:v>
      </x:c>
      <x:c r="D3" s="21" t="n">
        <x:f>IFERROR('Monthly Input'!D3/'Monthly Input'!C3,"")</x:f>
        <x:v>0.4770026977136916</x:v>
      </x:c>
      <x:c r="E3" s="21" t="n">
        <x:f>IFERROR('Monthly Input'!E3/'Monthly Input'!C3,"")</x:f>
        <x:v>-1.464581799605816</x:v>
      </x:c>
      <x:c r="F3" s="42" t="n">
        <x:f>IFERROR('Monthly Input'!C3/'Monthly Input'!I3,"")</x:f>
        <x:v>91.43814419828738</x:v>
      </x:c>
      <x:c r="G3" s="42" t="n">
        <x:f>'Monthly Input'!J3</x:f>
        <x:v>1158086.58</x:v>
      </x:c>
      <x:c r="H3" s="21" t="n">
        <x:f>'Monthly Input'!K3/100</x:f>
        <x:v>0.075</x:v>
      </x:c>
      <x:c r="I3" s="42" t="n">
        <x:f>IFERROR((F3*D3)/H3,"")</x:f>
        <x:v>581.5498860868881</x:v>
      </x:c>
      <x:c r="J3" s="43" t="n">
        <x:f>IFERROR(I3/G3,"")</x:f>
        <x:v>0.0005021644289210985</x:v>
      </x:c>
      <x:c r="K3" s="44" t="n">
        <x:f>IFERROR(G3/(F3*D3),"")</x:f>
        <x:v>26551.728010643907</x:v>
      </x:c>
      <x:c r="L3" s="42" t="str">
        <x:f>IFERROR('Monthly Input'!L3/SUM('Monthly Input'!L3:N3),"")</x:f>
      </x:c>
      <x:c r="M3" s="21" t="str">
        <x:f>IFERROR('Monthly Input'!N3/SUM('Monthly Input'!L3:N3),"")</x:f>
      </x:c>
      <x:c r="N3" s="21" t="n">
        <x:f>SUM('Monthly Input'!L3:N3)</x:f>
        <x:v>0</x:v>
      </x:c>
      <x:c r="O3" s="18" t="str">
        <x:f>IF(OR(A3="",B3="",C3=""),"Missing required data","Ready")</x:f>
        <x:v>Ready</x:v>
      </x:c>
    </x:row>
    <x:row r="4">
      <x:c r="A4" s="18" t="str">
        <x:f>'Monthly Input'!A4</x:f>
        <x:v>Overview</x:v>
      </x:c>
      <x:c r="B4" s="19" t="n">
        <x:f>'Monthly Input'!B4</x:f>
        <x:v>46082</x:v>
      </x:c>
      <x:c r="C4" s="42" t="n">
        <x:f>'Monthly Input'!C4</x:f>
        <x:v>10259725.16</x:v>
      </x:c>
      <x:c r="D4" s="21" t="n">
        <x:f>IFERROR('Monthly Input'!D4/'Monthly Input'!C4,"")</x:f>
        <x:v>0.35025873539091956</x:v>
      </x:c>
      <x:c r="E4" s="21" t="n">
        <x:f>IFERROR('Monthly Input'!E4/'Monthly Input'!C4,"")</x:f>
        <x:v>-0.8825429754494514</x:v>
      </x:c>
      <x:c r="F4" s="42" t="n">
        <x:f>IFERROR('Monthly Input'!C4/'Monthly Input'!I4,"")</x:f>
        <x:v>206.28782869206796</x:v>
      </x:c>
      <x:c r="G4" s="42" t="n">
        <x:f>'Monthly Input'!J4</x:f>
        <x:v>10139.94</x:v>
      </x:c>
      <x:c r="H4" s="21" t="n">
        <x:f>'Monthly Input'!K4/100</x:f>
        <x:v>0.051</x:v>
      </x:c>
      <x:c r="I4" s="42" t="n">
        <x:f>IFERROR((F4*D4)/H4,"")</x:f>
        <x:v>1416.747333416125</x:v>
      </x:c>
      <x:c r="J4" s="43" t="n">
        <x:f>IFERROR(I4/G4,"")</x:f>
        <x:v>0.1397194986771248</x:v>
      </x:c>
      <x:c r="K4" s="44" t="n">
        <x:f>IFERROR(G4/(F4*D4),"")</x:f>
        <x:v>140.33719933798434</x:v>
      </x:c>
      <x:c r="L4" s="42" t="n">
        <x:f>IFERROR('Monthly Input'!L4/SUM('Monthly Input'!L4:N4),"")</x:f>
        <x:v>0</x:v>
      </x:c>
      <x:c r="M4" s="21" t="n">
        <x:f>IFERROR('Monthly Input'!N4/SUM('Monthly Input'!L4:N4),"")</x:f>
        <x:v>1</x:v>
      </x:c>
      <x:c r="N4" s="21" t="n">
        <x:f>SUM('Monthly Input'!L4:N4)</x:f>
        <x:v>28903.57</x:v>
      </x:c>
      <x:c r="O4" s="18" t="str">
        <x:f>IF(OR(A4="",B4="",C4=""),"Missing required data","Ready")</x:f>
        <x:v>Ready</x:v>
      </x:c>
    </x:row>
    <x:row r="5">
      <x:c r="A5" s="18" t="str">
        <x:f>'Monthly Input'!A5</x:f>
        <x:v>Overview</x:v>
      </x:c>
      <x:c r="B5" s="19" t="n">
        <x:f>'Monthly Input'!B5</x:f>
        <x:v>46113</x:v>
      </x:c>
      <x:c r="C5" s="42" t="n">
        <x:f>'Monthly Input'!C5</x:f>
        <x:v>10414070.6</x:v>
      </x:c>
      <x:c r="D5" s="21" t="n">
        <x:f>IFERROR('Monthly Input'!D5/'Monthly Input'!C5,"")</x:f>
        <x:v>0.600913748366561</x:v>
      </x:c>
      <x:c r="E5" s="21" t="n">
        <x:f>IFERROR('Monthly Input'!E5/'Monthly Input'!C5,"")</x:f>
        <x:v>-0.0661109115200352</x:v>
      </x:c>
      <x:c r="F5" s="42" t="n">
        <x:f>IFERROR('Monthly Input'!C5/'Monthly Input'!I5,"")</x:f>
        <x:v>122.75098244910949</x:v>
      </x:c>
      <x:c r="G5" s="42" t="n">
        <x:f>'Monthly Input'!J5</x:f>
        <x:v>0</x:v>
      </x:c>
      <x:c r="H5" s="21" t="n">
        <x:f>'Monthly Input'!K5/100</x:f>
        <x:v>0.063</x:v>
      </x:c>
      <x:c r="I5" s="42" t="n">
        <x:f>IFERROR((F5*D5)/H5,"")</x:f>
        <x:v>1170.837348875751</x:v>
      </x:c>
      <x:c r="J5" s="43" t="str">
        <x:f>IFERROR(I5/G5,"")</x:f>
      </x:c>
      <x:c r="K5" s="44" t="n">
        <x:f>IFERROR(G5/(F5*D5),"")</x:f>
        <x:v>0</x:v>
      </x:c>
      <x:c r="L5" s="42" t="n">
        <x:f>IFERROR('Monthly Input'!L5/SUM('Monthly Input'!L5:N5),"")</x:f>
        <x:v>0</x:v>
      </x:c>
      <x:c r="M5" s="21" t="n">
        <x:f>IFERROR('Monthly Input'!N5/SUM('Monthly Input'!L5:N5),"")</x:f>
        <x:v>1</x:v>
      </x:c>
      <x:c r="N5" s="21" t="n">
        <x:f>SUM('Monthly Input'!L5:N5)</x:f>
        <x:v>360360.41</x:v>
      </x:c>
      <x:c r="O5" s="18" t="str">
        <x:f>IF(OR(A5="",B5="",C5=""),"Missing required data","Ready")</x:f>
        <x:v>Ready</x:v>
      </x:c>
    </x:row>
    <x:row r="6">
      <x:c r="A6" s="18" t="str">
        <x:f>'Monthly Input'!A6</x:f>
        <x:v>Overview</x:v>
      </x:c>
      <x:c r="B6" s="19" t="n">
        <x:f>'Monthly Input'!B6</x:f>
        <x:v>46143</x:v>
      </x:c>
      <x:c r="C6" s="42" t="n">
        <x:f>'Monthly Input'!C6</x:f>
        <x:v>11262574.89</x:v>
      </x:c>
      <x:c r="D6" s="21" t="n">
        <x:f>IFERROR('Monthly Input'!D6/'Monthly Input'!C6,"")</x:f>
        <x:v>0.9297673926499413</x:v>
      </x:c>
      <x:c r="E6" s="21" t="n">
        <x:f>IFERROR('Monthly Input'!E6/'Monthly Input'!C6,"")</x:f>
        <x:v>0.32308316930534525</x:v>
      </x:c>
      <x:c r="F6" s="42" t="n">
        <x:f>IFERROR('Monthly Input'!C6/'Monthly Input'!I6,"")</x:f>
        <x:v>135.6266770631375</x:v>
      </x:c>
      <x:c r="G6" s="42" t="n">
        <x:f>'Monthly Input'!J6</x:f>
        <x:v>0</x:v>
      </x:c>
      <x:c r="H6" s="21" t="n">
        <x:f>'Monthly Input'!K6/100</x:f>
        <x:v>0.045</x:v>
      </x:c>
      <x:c r="I6" s="42" t="n">
        <x:f>IFERROR((F6*D6)/H6,"")</x:f>
        <x:v>2802.2502645948657</x:v>
      </x:c>
      <x:c r="J6" s="43" t="str">
        <x:f>IFERROR(I6/G6,"")</x:f>
      </x:c>
      <x:c r="K6" s="44" t="n">
        <x:f>IFERROR(G6/(F6*D6),"")</x:f>
        <x:v>0</x:v>
      </x:c>
      <x:c r="L6" s="42" t="n">
        <x:f>IFERROR('Monthly Input'!L6/SUM('Monthly Input'!L6:N6),"")</x:f>
        <x:v>0</x:v>
      </x:c>
      <x:c r="M6" s="21" t="n">
        <x:f>IFERROR('Monthly Input'!N6/SUM('Monthly Input'!L6:N6),"")</x:f>
        <x:v>1</x:v>
      </x:c>
      <x:c r="N6" s="21" t="n">
        <x:f>SUM('Monthly Input'!L6:N6)</x:f>
        <x:v>916069.99</x:v>
      </x:c>
      <x:c r="O6" s="18" t="str">
        <x:f>IF(OR(A6="",B6="",C6=""),"Missing required data","Ready")</x:f>
        <x:v>Ready</x:v>
      </x:c>
    </x:row>
    <x:row r="7">
      <x:c r="A7" s="18" t="str">
        <x:f>'Monthly Input'!A7</x:f>
        <x:v>Overview</x:v>
      </x:c>
      <x:c r="B7" s="19" t="n">
        <x:f>'Monthly Input'!B7</x:f>
        <x:v>46174</x:v>
      </x:c>
      <x:c r="C7" s="42" t="n">
        <x:f>'Monthly Input'!C7</x:f>
        <x:v>10290678.7</x:v>
      </x:c>
      <x:c r="D7" s="21" t="n">
        <x:f>IFERROR('Monthly Input'!D7/'Monthly Input'!C7,"")</x:f>
        <x:v>0.5995570243583643</x:v>
      </x:c>
      <x:c r="E7" s="21" t="n">
        <x:f>IFERROR('Monthly Input'!E7/'Monthly Input'!C7,"")</x:f>
        <x:v>-0.20463040207445213</x:v>
      </x:c>
      <x:c r="F7" s="42" t="n">
        <x:f>IFERROR('Monthly Input'!C7/'Monthly Input'!I7,"")</x:f>
        <x:v>142.25040363827375</x:v>
      </x:c>
      <x:c r="G7" s="42" t="n">
        <x:f>'Monthly Input'!J7</x:f>
        <x:v>13536.67</x:v>
      </x:c>
      <x:c r="H7" s="21" t="n">
        <x:f>'Monthly Input'!K7/100</x:f>
        <x:v>0.036000000000000004</x:v>
      </x:c>
      <x:c r="I7" s="42" t="n">
        <x:f>IFERROR((F7*D7)/H7,"")</x:f>
        <x:v>2369.089686642768</x:v>
      </x:c>
      <x:c r="J7" s="43" t="n">
        <x:f>IFERROR(I7/G7,"")</x:f>
        <x:v>0.17501273848315485</x:v>
      </x:c>
      <x:c r="K7" s="44" t="n">
        <x:f>IFERROR(G7/(F7*D7),"")</x:f>
        <x:v>158.71860539140934</x:v>
      </x:c>
      <x:c r="L7" s="42" t="n">
        <x:f>IFERROR('Monthly Input'!L7/SUM('Monthly Input'!L7:N7),"")</x:f>
        <x:v>0</x:v>
      </x:c>
      <x:c r="M7" s="21" t="n">
        <x:f>IFERROR('Monthly Input'!N7/SUM('Monthly Input'!L7:N7),"")</x:f>
        <x:v>1</x:v>
      </x:c>
      <x:c r="N7" s="21" t="n">
        <x:f>SUM('Monthly Input'!L7:N7)</x:f>
        <x:v>903293.43</x:v>
      </x:c>
      <x:c r="O7" s="18" t="str">
        <x:f>IF(OR(A7="",B7="",C7=""),"Missing required data","Ready")</x:f>
        <x:v>Ready</x:v>
      </x:c>
    </x:row>
    <x:row r="8">
      <x:c r="A8" s="18" t="str">
        <x:f>'Monthly Input'!A8</x:f>
        <x:v>Overview</x:v>
      </x:c>
      <x:c r="B8" s="19" t="n">
        <x:f>'Monthly Input'!B8</x:f>
        <x:v>46204</x:v>
      </x:c>
      <x:c r="C8" s="42" t="n">
        <x:f>'Monthly Input'!C8</x:f>
        <x:v>10856316.3</x:v>
      </x:c>
      <x:c r="D8" s="21" t="n">
        <x:f>IFERROR('Monthly Input'!D8/'Monthly Input'!C8,"")</x:f>
        <x:v>0.8114968334148481</x:v>
      </x:c>
      <x:c r="E8" s="21" t="n">
        <x:f>IFERROR('Monthly Input'!E8/'Monthly Input'!C8,"")</x:f>
        <x:v>-1.1437914534601392</x:v>
      </x:c>
      <x:c r="F8" s="42" t="n">
        <x:f>IFERROR('Monthly Input'!C8/'Monthly Input'!I8,"")</x:f>
        <x:v>151.95347889985305</x:v>
      </x:c>
      <x:c r="G8" s="42" t="n">
        <x:f>'Monthly Input'!J8</x:f>
        <x:v>335449.49</x:v>
      </x:c>
      <x:c r="H8" s="21" t="n">
        <x:f>'Monthly Input'!K8/100</x:f>
        <x:v>0.051</x:v>
      </x:c>
      <x:c r="I8" s="42" t="n">
        <x:f>IFERROR((F8*D8)/H8,"")</x:f>
        <x:v>2417.8385677176607</x:v>
      </x:c>
      <x:c r="J8" s="43" t="n">
        <x:f>IFERROR(I8/G8,"")</x:f>
        <x:v>0.007207757471080552</x:v>
      </x:c>
      <x:c r="K8" s="44" t="n">
        <x:f>IFERROR(G8/(F8*D8),"")</x:f>
        <x:v>2720.3805366546817</x:v>
      </x:c>
      <x:c r="L8" s="42" t="n">
        <x:f>IFERROR('Monthly Input'!L8/SUM('Monthly Input'!L8:N8),"")</x:f>
        <x:v>0</x:v>
      </x:c>
      <x:c r="M8" s="21" t="n">
        <x:f>IFERROR('Monthly Input'!N8/SUM('Monthly Input'!L8:N8),"")</x:f>
        <x:v>1</x:v>
      </x:c>
      <x:c r="N8" s="21" t="n">
        <x:f>SUM('Monthly Input'!L8:N8)</x:f>
        <x:v>912287.49</x:v>
      </x:c>
      <x:c r="O8" s="18" t="str">
        <x:f>IF(OR(A8="",B8="",C8=""),"Missing required data","Ready")</x:f>
        <x:v>Ready</x:v>
      </x:c>
    </x:row>
    <x:row r="9">
      <x:c r="A9" s="18" t="str">
        <x:f>'Monthly Input'!A9</x:f>
        <x:v>Overview</x:v>
      </x:c>
      <x:c r="B9" s="19" t="n">
        <x:f>'Monthly Input'!B9</x:f>
        <x:v>46235</x:v>
      </x:c>
      <x:c r="C9" s="42" t="n">
        <x:f>'Monthly Input'!C9</x:f>
        <x:v>14180649.1</x:v>
      </x:c>
      <x:c r="D9" s="21" t="n">
        <x:f>IFERROR('Monthly Input'!D9/'Monthly Input'!C9,"")</x:f>
        <x:v>0.7276549914770827</x:v>
      </x:c>
      <x:c r="E9" s="21" t="n">
        <x:f>IFERROR('Monthly Input'!E9/'Monthly Input'!C9,"")</x:f>
        <x:v>-0.9980090805575325</x:v>
      </x:c>
      <x:c r="F9" s="42" t="n">
        <x:f>IFERROR('Monthly Input'!C9/'Monthly Input'!I9,"")</x:f>
        <x:v>189.45422979291916</x:v>
      </x:c>
      <x:c r="G9" s="42" t="n">
        <x:f>'Monthly Input'!J9</x:f>
        <x:v>446381.36</x:v>
      </x:c>
      <x:c r="H9" s="21" t="n">
        <x:f>'Monthly Input'!K9/100</x:f>
        <x:v>0.142</x:v>
      </x:c>
      <x:c r="I9" s="42" t="n">
        <x:f>IFERROR((F9*D9)/H9,"")</x:f>
        <x:v>970.826168769464</x:v>
      </x:c>
      <x:c r="J9" s="43" t="n">
        <x:f>IFERROR(I9/G9,"")</x:f>
        <x:v>0.0021748806194986816</x:v>
      </x:c>
      <x:c r="K9" s="44" t="n">
        <x:f>IFERROR(G9/(F9*D9),"")</x:f>
        <x:v>3237.9954366185066</x:v>
      </x:c>
      <x:c r="L9" s="42" t="n">
        <x:f>IFERROR('Monthly Input'!L9/SUM('Monthly Input'!L9:N9),"")</x:f>
        <x:v>0</x:v>
      </x:c>
      <x:c r="M9" s="21" t="n">
        <x:f>IFERROR('Monthly Input'!N9/SUM('Monthly Input'!L9:N9),"")</x:f>
        <x:v>0.7274856291249734</x:v>
      </x:c>
      <x:c r="N9" s="21" t="n">
        <x:f>SUM('Monthly Input'!L9:N9)</x:f>
        <x:v>2160807.88</x:v>
      </x:c>
      <x:c r="O9" s="18" t="str">
        <x:f>IF(OR(A9="",B9="",C9=""),"Missing required data","Ready")</x:f>
        <x:v>Ready</x:v>
      </x:c>
    </x:row>
    <x:row r="10">
      <x:c r="A10" s="18" t="str">
        <x:f>'Monthly Input'!A10</x:f>
        <x:v>Overview</x:v>
      </x:c>
      <x:c r="B10" s="19" t="n">
        <x:f>'Monthly Input'!B10</x:f>
        <x:v>46266</x:v>
      </x:c>
      <x:c r="C10" s="42" t="n">
        <x:f>'Monthly Input'!C10</x:f>
        <x:v>13443954.98</x:v>
      </x:c>
      <x:c r="D10" s="21" t="n">
        <x:f>IFERROR('Monthly Input'!D10/'Monthly Input'!C10,"")</x:f>
        <x:v>0.8161701669131891</x:v>
      </x:c>
      <x:c r="E10" s="21" t="n">
        <x:f>IFERROR('Monthly Input'!E10/'Monthly Input'!C10,"")</x:f>
        <x:v>-0.5522230505118815</x:v>
      </x:c>
      <x:c r="F10" s="42" t="n">
        <x:f>IFERROR('Monthly Input'!C10/'Monthly Input'!I10,"")</x:f>
        <x:v>198.72221042984688</x:v>
      </x:c>
      <x:c r="G10" s="42" t="n">
        <x:f>'Monthly Input'!J10</x:f>
        <x:v>2130360</x:v>
      </x:c>
      <x:c r="H10" s="21" t="n">
        <x:f>'Monthly Input'!K10/100</x:f>
        <x:v>0.061</x:v>
      </x:c>
      <x:c r="I10" s="42" t="n">
        <x:f>IFERROR((F10*D10)/H10,"")</x:f>
        <x:v>2658.871141899771</x:v>
      </x:c>
      <x:c r="J10" s="43" t="n">
        <x:f>IFERROR(I10/G10,"")</x:f>
        <x:v>0.001248085366745419</x:v>
      </x:c>
      <x:c r="K10" s="44" t="n">
        <x:f>IFERROR(G10/(F10*D10),"")</x:f>
        <x:v>13134.87286987374</x:v>
      </x:c>
      <x:c r="L10" s="42" t="n">
        <x:f>IFERROR('Monthly Input'!L10/SUM('Monthly Input'!L10:N10),"")</x:f>
        <x:v>0</x:v>
      </x:c>
      <x:c r="M10" s="21" t="n">
        <x:f>IFERROR('Monthly Input'!N10/SUM('Monthly Input'!L10:N10),"")</x:f>
        <x:v>0.6844959320969739</x:v>
      </x:c>
      <x:c r="N10" s="21" t="n">
        <x:f>SUM('Monthly Input'!L10:N10)</x:f>
        <x:v>1837719.57</x:v>
      </x:c>
      <x:c r="O10" s="18" t="str">
        <x:f>IF(OR(A10="",B10="",C10=""),"Missing required data","Ready")</x:f>
        <x:v>Ready</x:v>
      </x:c>
    </x:row>
    <x:row r="11">
      <x:c r="A11" s="18" t="str">
        <x:f>'Monthly Input'!A11</x:f>
        <x:v>Diaspora Tutoring</x:v>
      </x:c>
      <x:c r="B11" s="19" t="n">
        <x:f>'Monthly Input'!B11</x:f>
        <x:v>46023</x:v>
      </x:c>
      <x:c r="C11" s="42" t="n">
        <x:f>'Monthly Input'!C11</x:f>
        <x:v>6088306.76</x:v>
      </x:c>
      <x:c r="D11" s="21" t="n">
        <x:f>IFERROR('Monthly Input'!D11/'Monthly Input'!C11,"")</x:f>
        <x:v>0.5570849324287332</x:v>
      </x:c>
      <x:c r="E11" s="21" t="n">
        <x:f>IFERROR('Monthly Input'!E11/'Monthly Input'!C11,"")</x:f>
        <x:v>0</x:v>
      </x:c>
      <x:c r="F11" s="42" t="n">
        <x:f>IFERROR('Monthly Input'!C11/'Monthly Input'!I11,"")</x:f>
        <x:v>196396.9922580645</x:v>
      </x:c>
      <x:c r="G11" s="42" t="n">
        <x:f>'Monthly Input'!J11</x:f>
        <x:v>0</x:v>
      </x:c>
      <x:c r="H11" s="21" t="n">
        <x:f>'Monthly Input'!K11/100</x:f>
        <x:v>0</x:v>
      </x:c>
      <x:c r="I11" s="42" t="str">
        <x:f>IFERROR((F11*D11)/H11,"")</x:f>
      </x:c>
      <x:c r="J11" s="43" t="str">
        <x:f>IFERROR(I11/G11,"")</x:f>
      </x:c>
      <x:c r="K11" s="44" t="n">
        <x:f>IFERROR(G11/(F11*D11),"")</x:f>
        <x:v>0</x:v>
      </x:c>
      <x:c r="L11" s="42" t="str">
        <x:f>IFERROR('Monthly Input'!L11/SUM('Monthly Input'!L11:N11),"")</x:f>
      </x:c>
      <x:c r="M11" s="21" t="str">
        <x:f>IFERROR('Monthly Input'!N11/SUM('Monthly Input'!L11:N11),"")</x:f>
      </x:c>
      <x:c r="N11" s="21" t="n">
        <x:f>SUM('Monthly Input'!L11:N11)</x:f>
        <x:v>0</x:v>
      </x:c>
      <x:c r="O11" s="18" t="str">
        <x:f>IF(OR(A11="",B11="",C11=""),"Missing required data","Ready")</x:f>
        <x:v>Ready</x:v>
      </x:c>
    </x:row>
    <x:row r="12">
      <x:c r="A12" s="18" t="str">
        <x:f>'Monthly Input'!A12</x:f>
        <x:v>Diaspora Tutoring</x:v>
      </x:c>
      <x:c r="B12" s="19" t="n">
        <x:f>'Monthly Input'!B12</x:f>
        <x:v>46054</x:v>
      </x:c>
      <x:c r="C12" s="42" t="n">
        <x:f>'Monthly Input'!C12</x:f>
        <x:v>5872348.1</x:v>
      </x:c>
      <x:c r="D12" s="21" t="n">
        <x:f>IFERROR('Monthly Input'!D12/'Monthly Input'!C12,"")</x:f>
        <x:v>0.17072354753629132</x:v>
      </x:c>
      <x:c r="E12" s="21" t="n">
        <x:f>IFERROR('Monthly Input'!E12/'Monthly Input'!C12,"")</x:f>
        <x:v>0</x:v>
      </x:c>
      <x:c r="F12" s="42" t="n">
        <x:f>IFERROR('Monthly Input'!C12/'Monthly Input'!I12,"")</x:f>
        <x:v>183510.878125</x:v>
      </x:c>
      <x:c r="G12" s="42" t="n">
        <x:f>'Monthly Input'!J12</x:f>
        <x:v>1158086.58</x:v>
      </x:c>
      <x:c r="H12" s="21" t="n">
        <x:f>'Monthly Input'!K12/100</x:f>
        <x:v>0.065</x:v>
      </x:c>
      <x:c r="I12" s="42" t="n">
        <x:f>IFERROR((F12*D12)/H12,"")</x:f>
        <x:v>481994.2788461538</x:v>
      </x:c>
      <x:c r="J12" s="43" t="n">
        <x:f>IFERROR(I12/G12,"")</x:f>
        <x:v>0.4161988293190944</x:v>
      </x:c>
      <x:c r="K12" s="44" t="n">
        <x:f>IFERROR(G12/(F12*D12),"")</x:f>
        <x:v>36.96458111087139</x:v>
      </x:c>
      <x:c r="L12" s="42" t="str">
        <x:f>IFERROR('Monthly Input'!L12/SUM('Monthly Input'!L12:N12),"")</x:f>
      </x:c>
      <x:c r="M12" s="21" t="str">
        <x:f>IFERROR('Monthly Input'!N12/SUM('Monthly Input'!L12:N12),"")</x:f>
      </x:c>
      <x:c r="N12" s="21" t="n">
        <x:f>SUM('Monthly Input'!L12:N12)</x:f>
        <x:v>0</x:v>
      </x:c>
      <x:c r="O12" s="18" t="str">
        <x:f>IF(OR(A12="",B12="",C12=""),"Missing required data","Ready")</x:f>
        <x:v>Ready</x:v>
      </x:c>
    </x:row>
    <x:row r="13">
      <x:c r="A13" s="18" t="str">
        <x:f>'Monthly Input'!A13</x:f>
        <x:v>Diaspora Tutoring</x:v>
      </x:c>
      <x:c r="B13" s="19" t="n">
        <x:f>'Monthly Input'!B13</x:f>
        <x:v>46082</x:v>
      </x:c>
      <x:c r="C13" s="42" t="n">
        <x:f>'Monthly Input'!C13</x:f>
        <x:v>6727105.16</x:v>
      </x:c>
      <x:c r="D13" s="21" t="n">
        <x:f>IFERROR('Monthly Input'!D13/'Monthly Input'!C13,"")</x:f>
        <x:v>0.009058630503109304</x:v>
      </x:c>
      <x:c r="E13" s="21" t="n">
        <x:f>IFERROR('Monthly Input'!E13/'Monthly Input'!C13,"")</x:f>
        <x:v>0</x:v>
      </x:c>
      <x:c r="F13" s="42" t="n">
        <x:f>IFERROR('Monthly Input'!C13/'Monthly Input'!I13,"")</x:f>
        <x:v>192203.00457142858</x:v>
      </x:c>
      <x:c r="G13" s="42" t="n">
        <x:f>'Monthly Input'!J13</x:f>
        <x:v>10139.94</x:v>
      </x:c>
      <x:c r="H13" s="21" t="n">
        <x:f>'Monthly Input'!K13/100</x:f>
        <x:v>0.031</x:v>
      </x:c>
      <x:c r="I13" s="42" t="n">
        <x:f>IFERROR((F13*D13)/H13,"")</x:f>
        <x:v>56164.3870967742</x:v>
      </x:c>
      <x:c r="J13" s="43" t="n">
        <x:f>IFERROR(I13/G13,"")</x:f>
        <x:v>5.538926965719146</x:v>
      </x:c>
      <x:c r="K13" s="44" t="n">
        <x:f>IFERROR(G13/(F13*D13),"")</x:f>
        <x:v>5.823883347041174</x:v>
      </x:c>
      <x:c r="L13" s="42" t="n">
        <x:f>IFERROR('Monthly Input'!L13/SUM('Monthly Input'!L13:N13),"")</x:f>
        <x:v>0</x:v>
      </x:c>
      <x:c r="M13" s="21" t="n">
        <x:f>IFERROR('Monthly Input'!N13/SUM('Monthly Input'!L13:N13),"")</x:f>
        <x:v>1</x:v>
      </x:c>
      <x:c r="N13" s="21" t="n">
        <x:f>SUM('Monthly Input'!L13:N13)</x:f>
        <x:v>28903.57</x:v>
      </x:c>
      <x:c r="O13" s="18" t="str">
        <x:f>IF(OR(A13="",B13="",C13=""),"Missing required data","Ready")</x:f>
        <x:v>Ready</x:v>
      </x:c>
    </x:row>
    <x:row r="14">
      <x:c r="A14" s="18" t="str">
        <x:f>'Monthly Input'!A14</x:f>
        <x:v>Diaspora Tutoring</x:v>
      </x:c>
      <x:c r="B14" s="19" t="n">
        <x:f>'Monthly Input'!B14</x:f>
        <x:v>46113</x:v>
      </x:c>
      <x:c r="C14" s="42" t="n">
        <x:f>'Monthly Input'!C14</x:f>
        <x:v>7136884.1</x:v>
      </x:c>
      <x:c r="D14" s="21" t="n">
        <x:f>IFERROR('Monthly Input'!D14/'Monthly Input'!C14,"")</x:f>
        <x:v>0.417657293888239</x:v>
      </x:c>
      <x:c r="E14" s="21" t="n">
        <x:f>IFERROR('Monthly Input'!E14/'Monthly Input'!C14,"")</x:f>
        <x:v>0</x:v>
      </x:c>
      <x:c r="F14" s="42" t="n">
        <x:f>IFERROR('Monthly Input'!C14/'Monthly Input'!I14,"")</x:f>
        <x:v>182997.02820512818</x:v>
      </x:c>
      <x:c r="G14" s="42" t="n">
        <x:f>'Monthly Input'!J14</x:f>
        <x:v>0</x:v>
      </x:c>
      <x:c r="H14" s="21" t="n">
        <x:f>'Monthly Input'!K14/100</x:f>
        <x:v>0</x:v>
      </x:c>
      <x:c r="I14" s="42" t="str">
        <x:f>IFERROR((F14*D14)/H14,"")</x:f>
      </x:c>
      <x:c r="J14" s="43" t="str">
        <x:f>IFERROR(I14/G14,"")</x:f>
      </x:c>
      <x:c r="K14" s="44" t="n">
        <x:f>IFERROR(G14/(F14*D14),"")</x:f>
        <x:v>0</x:v>
      </x:c>
      <x:c r="L14" s="42" t="n">
        <x:f>IFERROR('Monthly Input'!L14/SUM('Monthly Input'!L14:N14),"")</x:f>
        <x:v>0</x:v>
      </x:c>
      <x:c r="M14" s="21" t="n">
        <x:f>IFERROR('Monthly Input'!N14/SUM('Monthly Input'!L14:N14),"")</x:f>
        <x:v>1</x:v>
      </x:c>
      <x:c r="N14" s="21" t="n">
        <x:f>SUM('Monthly Input'!L14:N14)</x:f>
        <x:v>360360.41</x:v>
      </x:c>
      <x:c r="O14" s="18" t="str">
        <x:f>IF(OR(A14="",B14="",C14=""),"Missing required data","Ready")</x:f>
        <x:v>Ready</x:v>
      </x:c>
    </x:row>
    <x:row r="15">
      <x:c r="A15" s="18" t="str">
        <x:f>'Monthly Input'!A15</x:f>
        <x:v>Diaspora Tutoring</x:v>
      </x:c>
      <x:c r="B15" s="19" t="n">
        <x:f>'Monthly Input'!B15</x:f>
        <x:v>46143</x:v>
      </x:c>
      <x:c r="C15" s="42" t="n">
        <x:f>'Monthly Input'!C15</x:f>
        <x:v>7853466.39</x:v>
      </x:c>
      <x:c r="D15" s="21" t="n">
        <x:f>IFERROR('Monthly Input'!D15/'Monthly Input'!C15,"")</x:f>
        <x:v>0.8992801444968048</x:v>
      </x:c>
      <x:c r="E15" s="21" t="n">
        <x:f>IFERROR('Monthly Input'!E15/'Monthly Input'!C15,"")</x:f>
        <x:v>0</x:v>
      </x:c>
      <x:c r="F15" s="42" t="n">
        <x:f>IFERROR('Monthly Input'!C15/'Monthly Input'!I15,"")</x:f>
        <x:v>191547.9607317073</x:v>
      </x:c>
      <x:c r="G15" s="42" t="n">
        <x:f>'Monthly Input'!J15</x:f>
        <x:v>0</x:v>
      </x:c>
      <x:c r="H15" s="21" t="n">
        <x:f>'Monthly Input'!K15/100</x:f>
        <x:v>0.077</x:v>
      </x:c>
      <x:c r="I15" s="42" t="n">
        <x:f>IFERROR((F15*D15)/H15,"")</x:f>
        <x:v>2237081.529933481</x:v>
      </x:c>
      <x:c r="J15" s="43" t="str">
        <x:f>IFERROR(I15/G15,"")</x:f>
      </x:c>
      <x:c r="K15" s="44" t="n">
        <x:f>IFERROR(G15/(F15*D15),"")</x:f>
        <x:v>0</x:v>
      </x:c>
      <x:c r="L15" s="42" t="n">
        <x:f>IFERROR('Monthly Input'!L15/SUM('Monthly Input'!L15:N15),"")</x:f>
        <x:v>0</x:v>
      </x:c>
      <x:c r="M15" s="21" t="n">
        <x:f>IFERROR('Monthly Input'!N15/SUM('Monthly Input'!L15:N15),"")</x:f>
        <x:v>1</x:v>
      </x:c>
      <x:c r="N15" s="21" t="n">
        <x:f>SUM('Monthly Input'!L15:N15)</x:f>
        <x:v>916069.99</x:v>
      </x:c>
      <x:c r="O15" s="18" t="str">
        <x:f>IF(OR(A15="",B15="",C15=""),"Missing required data","Ready")</x:f>
        <x:v>Ready</x:v>
      </x:c>
    </x:row>
    <x:row r="16">
      <x:c r="A16" s="18" t="str">
        <x:f>'Monthly Input'!A16</x:f>
        <x:v>Diaspora Tutoring</x:v>
      </x:c>
      <x:c r="B16" s="19" t="n">
        <x:f>'Monthly Input'!B16</x:f>
        <x:v>46174</x:v>
      </x:c>
      <x:c r="C16" s="42" t="n">
        <x:f>'Monthly Input'!C16</x:f>
        <x:v>7645119.7</x:v>
      </x:c>
      <x:c r="D16" s="21" t="n">
        <x:f>IFERROR('Monthly Input'!D16/'Monthly Input'!C16,"")</x:f>
        <x:v>0.46098554872855685</x:v>
      </x:c>
      <x:c r="E16" s="21" t="n">
        <x:f>IFERROR('Monthly Input'!E16/'Monthly Input'!C16,"")</x:f>
        <x:v>0</x:v>
      </x:c>
      <x:c r="F16" s="42" t="n">
        <x:f>IFERROR('Monthly Input'!C16/'Monthly Input'!I16,"")</x:f>
        <x:v>182026.65952380953</x:v>
      </x:c>
      <x:c r="G16" s="42" t="n">
        <x:f>'Monthly Input'!J16</x:f>
        <x:v>13536.67</x:v>
      </x:c>
      <x:c r="H16" s="21" t="n">
        <x:f>'Monthly Input'!K16/100</x:f>
        <x:v>0.049</x:v>
      </x:c>
      <x:c r="I16" s="42" t="n">
        <x:f>IFERROR((F16*D16)/H16,"")</x:f>
        <x:v>1712482.8474246843</x:v>
      </x:c>
      <x:c r="J16" s="43" t="n">
        <x:f>IFERROR(I16/G16,"")</x:f>
        <x:v>126.50695092845466</x:v>
      </x:c>
      <x:c r="K16" s="44" t="n">
        <x:f>IFERROR(G16/(F16*D16),"")</x:f>
        <x:v>0.1613204896294422</x:v>
      </x:c>
      <x:c r="L16" s="42" t="n">
        <x:f>IFERROR('Monthly Input'!L16/SUM('Monthly Input'!L16:N16),"")</x:f>
        <x:v>0</x:v>
      </x:c>
      <x:c r="M16" s="21" t="n">
        <x:f>IFERROR('Monthly Input'!N16/SUM('Monthly Input'!L16:N16),"")</x:f>
        <x:v>1</x:v>
      </x:c>
      <x:c r="N16" s="21" t="n">
        <x:f>SUM('Monthly Input'!L16:N16)</x:f>
        <x:v>903293.43</x:v>
      </x:c>
      <x:c r="O16" s="18" t="str">
        <x:f>IF(OR(A16="",B16="",C16=""),"Missing required data","Ready")</x:f>
        <x:v>Ready</x:v>
      </x:c>
    </x:row>
    <x:row r="17">
      <x:c r="A17" s="18" t="str">
        <x:f>'Monthly Input'!A17</x:f>
        <x:v>Diaspora Tutoring</x:v>
      </x:c>
      <x:c r="B17" s="19" t="n">
        <x:f>'Monthly Input'!B17</x:f>
        <x:v>46204</x:v>
      </x:c>
      <x:c r="C17" s="42" t="n">
        <x:f>'Monthly Input'!C17</x:f>
        <x:v>8430301.8</x:v>
      </x:c>
      <x:c r="D17" s="21" t="n">
        <x:f>IFERROR('Monthly Input'!D17/'Monthly Input'!C17,"")</x:f>
        <x:v>0.7572506834808689</x:v>
      </x:c>
      <x:c r="E17" s="21" t="n">
        <x:f>IFERROR('Monthly Input'!E17/'Monthly Input'!C17,"")</x:f>
        <x:v>0</x:v>
      </x:c>
      <x:c r="F17" s="42" t="n">
        <x:f>IFERROR('Monthly Input'!C17/'Monthly Input'!I17,"")</x:f>
        <x:v>187340.04</x:v>
      </x:c>
      <x:c r="G17" s="42" t="n">
        <x:f>'Monthly Input'!J17</x:f>
        <x:v>335449.49</x:v>
      </x:c>
      <x:c r="H17" s="21" t="n">
        <x:f>'Monthly Input'!K17/100</x:f>
        <x:v>0.024</x:v>
      </x:c>
      <x:c r="I17" s="42" t="n">
        <x:f>IFERROR((F17*D17)/H17,"")</x:f>
        <x:v>5910973.888888888</x:v>
      </x:c>
      <x:c r="J17" s="43" t="n">
        <x:f>IFERROR(I17/G17,"")</x:f>
        <x:v>17.62105492808735</x:v>
      </x:c>
      <x:c r="K17" s="44" t="n">
        <x:f>IFERROR(G17/(F17*D17),"")</x:f>
        <x:v>2.3645954704023677</x:v>
      </x:c>
      <x:c r="L17" s="42" t="n">
        <x:f>IFERROR('Monthly Input'!L17/SUM('Monthly Input'!L17:N17),"")</x:f>
        <x:v>0</x:v>
      </x:c>
      <x:c r="M17" s="21" t="n">
        <x:f>IFERROR('Monthly Input'!N17/SUM('Monthly Input'!L17:N17),"")</x:f>
        <x:v>1</x:v>
      </x:c>
      <x:c r="N17" s="21" t="n">
        <x:f>SUM('Monthly Input'!L17:N17)</x:f>
        <x:v>912287.49</x:v>
      </x:c>
      <x:c r="O17" s="18" t="str">
        <x:f>IF(OR(A17="",B17="",C17=""),"Missing required data","Ready")</x:f>
        <x:v>Ready</x:v>
      </x:c>
    </x:row>
    <x:row r="18">
      <x:c r="A18" s="18" t="str">
        <x:f>'Monthly Input'!A18</x:f>
        <x:v>Diaspora Tutoring</x:v>
      </x:c>
      <x:c r="B18" s="19" t="n">
        <x:f>'Monthly Input'!B18</x:f>
        <x:v>46235</x:v>
      </x:c>
      <x:c r="C18" s="42" t="n">
        <x:f>'Monthly Input'!C18</x:f>
        <x:v>9592993.3</x:v>
      </x:c>
      <x:c r="D18" s="21" t="n">
        <x:f>IFERROR('Monthly Input'!D18/'Monthly Input'!C18,"")</x:f>
        <x:v>0.5974114773956946</x:v>
      </x:c>
      <x:c r="E18" s="21" t="n">
        <x:f>IFERROR('Monthly Input'!E18/'Monthly Input'!C18,"")</x:f>
        <x:v>0</x:v>
      </x:c>
      <x:c r="F18" s="42" t="n">
        <x:f>IFERROR('Monthly Input'!C18/'Monthly Input'!I18,"")</x:f>
        <x:v>191859.866</x:v>
      </x:c>
      <x:c r="G18" s="42" t="n">
        <x:f>'Monthly Input'!J18</x:f>
        <x:v>446381.36</x:v>
      </x:c>
      <x:c r="H18" s="21" t="n">
        <x:f>'Monthly Input'!K18/100</x:f>
        <x:v>0</x:v>
      </x:c>
      <x:c r="I18" s="42" t="str">
        <x:f>IFERROR((F18*D18)/H18,"")</x:f>
      </x:c>
      <x:c r="J18" s="43" t="n">
        <x:f>IFERROR(I18/G18,"")</x:f>
        <x:v>0</x:v>
      </x:c>
      <x:c r="K18" s="44" t="n">
        <x:f>IFERROR(G18/(F18*D18),"")</x:f>
        <x:v>3.894469906225031</x:v>
      </x:c>
      <x:c r="L18" s="42" t="n">
        <x:f>IFERROR('Monthly Input'!L18/SUM('Monthly Input'!L18:N18),"")</x:f>
        <x:v>0</x:v>
      </x:c>
      <x:c r="M18" s="21" t="n">
        <x:f>IFERROR('Monthly Input'!N18/SUM('Monthly Input'!L18:N18),"")</x:f>
        <x:v>0.7274856291249734</x:v>
      </x:c>
      <x:c r="N18" s="21" t="n">
        <x:f>SUM('Monthly Input'!L18:N18)</x:f>
        <x:v>2160807.88</x:v>
      </x:c>
      <x:c r="O18" s="18" t="str">
        <x:f>IF(OR(A18="",B18="",C18=""),"Missing required data","Ready")</x:f>
        <x:v>Ready</x:v>
      </x:c>
    </x:row>
    <x:row r="19">
      <x:c r="A19" s="18" t="str">
        <x:f>'Monthly Input'!A19</x:f>
        <x:v>Diaspora Tutoring</x:v>
      </x:c>
      <x:c r="B19" s="19" t="n">
        <x:f>'Monthly Input'!B19</x:f>
        <x:v>46266</x:v>
      </x:c>
      <x:c r="C19" s="42" t="n">
        <x:f>'Monthly Input'!C19</x:f>
        <x:v>9772440.98</x:v>
      </x:c>
      <x:c r="D19" s="21" t="n">
        <x:f>IFERROR('Monthly Input'!D19/'Monthly Input'!C19,"")</x:f>
        <x:v>0.7471051495672476</x:v>
      </x:c>
      <x:c r="E19" s="21" t="n">
        <x:f>IFERROR('Monthly Input'!E19/'Monthly Input'!C19,"")</x:f>
        <x:v>0</x:v>
      </x:c>
      <x:c r="F19" s="42" t="n">
        <x:f>IFERROR('Monthly Input'!C19/'Monthly Input'!I19,"")</x:f>
        <x:v>187931.5573076923</x:v>
      </x:c>
      <x:c r="G19" s="42" t="n">
        <x:f>'Monthly Input'!J19</x:f>
        <x:v>2130360</x:v>
      </x:c>
      <x:c r="H19" s="21" t="n">
        <x:f>'Monthly Input'!K19/100</x:f>
        <x:v>0.04</x:v>
      </x:c>
      <x:c r="I19" s="42" t="n">
        <x:f>IFERROR((F19*D19)/H19,"")</x:f>
        <x:v>3510115.85576923</x:v>
      </x:c>
      <x:c r="J19" s="43" t="n">
        <x:f>IFERROR(I19/G19,"")</x:f>
        <x:v>1.6476632380298306</x:v>
      </x:c>
      <x:c r="K19" s="44" t="n">
        <x:f>IFERROR(G19/(F19*D19),"")</x:f>
        <x:v>15.173003452995276</x:v>
      </x:c>
      <x:c r="L19" s="42" t="n">
        <x:f>IFERROR('Monthly Input'!L19/SUM('Monthly Input'!L19:N19),"")</x:f>
        <x:v>0</x:v>
      </x:c>
      <x:c r="M19" s="21" t="n">
        <x:f>IFERROR('Monthly Input'!N19/SUM('Monthly Input'!L19:N19),"")</x:f>
        <x:v>0.6844959320969739</x:v>
      </x:c>
      <x:c r="N19" s="21" t="n">
        <x:f>SUM('Monthly Input'!L19:N19)</x:f>
        <x:v>1837719.57</x:v>
      </x:c>
      <x:c r="O19" s="18" t="str">
        <x:f>IF(OR(A19="",B19="",C19=""),"Missing required data","Ready")</x:f>
        <x:v>Ready</x:v>
      </x:c>
    </x:row>
    <x:row r="20">
      <x:c r="A20" s="18" t="str">
        <x:f>'Monthly Input'!A20</x:f>
        <x:v>Partnership</x:v>
      </x:c>
      <x:c r="B20" s="19" t="n">
        <x:f>'Monthly Input'!B20</x:f>
        <x:v>46023</x:v>
      </x:c>
      <x:c r="C20" s="42" t="n">
        <x:f>'Monthly Input'!C20</x:f>
        <x:v>4112976</x:v>
      </x:c>
      <x:c r="D20" s="21" t="n">
        <x:f>IFERROR('Monthly Input'!D20/'Monthly Input'!C20,"")</x:f>
        <x:v>1</x:v>
      </x:c>
      <x:c r="E20" s="21" t="n">
        <x:f>IFERROR('Monthly Input'!E20/'Monthly Input'!C20,"")</x:f>
        <x:v>1</x:v>
      </x:c>
      <x:c r="F20" s="42" t="n">
        <x:f>IFERROR('Monthly Input'!C20/'Monthly Input'!I20,"")</x:f>
        <x:v>40.60193484698914</x:v>
      </x:c>
      <x:c r="G20" s="42" t="n">
        <x:f>'Monthly Input'!J20</x:f>
        <x:v>0</x:v>
      </x:c>
      <x:c r="H20" s="21" t="n">
        <x:f>'Monthly Input'!K20/100</x:f>
        <x:v>0.095</x:v>
      </x:c>
      <x:c r="I20" s="42" t="n">
        <x:f>IFERROR((F20*D20)/H20,"")</x:f>
        <x:v>427.38878786304355</x:v>
      </x:c>
      <x:c r="J20" s="43" t="str">
        <x:f>IFERROR(I20/G20,"")</x:f>
      </x:c>
      <x:c r="K20" s="44" t="n">
        <x:f>IFERROR(G20/(F20*D20),"")</x:f>
        <x:v>0</x:v>
      </x:c>
      <x:c r="L20" s="42" t="str">
        <x:f>IFERROR('Monthly Input'!L20/SUM('Monthly Input'!L20:N20),"")</x:f>
      </x:c>
      <x:c r="M20" s="21" t="str">
        <x:f>IFERROR('Monthly Input'!N20/SUM('Monthly Input'!L20:N20),"")</x:f>
      </x:c>
      <x:c r="N20" s="21" t="n">
        <x:f>SUM('Monthly Input'!L20:N20)</x:f>
        <x:v>0</x:v>
      </x:c>
      <x:c r="O20" s="18" t="str">
        <x:f>IF(OR(A20="",B20="",C20=""),"Missing required data","Ready")</x:f>
        <x:v>Ready</x:v>
      </x:c>
    </x:row>
    <x:row r="21">
      <x:c r="A21" s="18" t="str">
        <x:f>'Monthly Input'!A21</x:f>
        <x:v>Partnership</x:v>
      </x:c>
      <x:c r="B21" s="19" t="n">
        <x:f>'Monthly Input'!B21</x:f>
        <x:v>46054</x:v>
      </x:c>
      <x:c r="C21" s="42" t="n">
        <x:f>'Monthly Input'!C21</x:f>
        <x:v>3438981</x:v>
      </x:c>
      <x:c r="D21" s="21" t="n">
        <x:f>IFERROR('Monthly Input'!D21/'Monthly Input'!C21,"")</x:f>
        <x:v>1</x:v>
      </x:c>
      <x:c r="E21" s="21" t="n">
        <x:f>IFERROR('Monthly Input'!E21/'Monthly Input'!C21,"")</x:f>
        <x:v>1</x:v>
      </x:c>
      <x:c r="F21" s="42" t="n">
        <x:f>IFERROR('Monthly Input'!C21/'Monthly Input'!I21,"")</x:f>
        <x:v>33.78173870333988</x:v>
      </x:c>
      <x:c r="G21" s="42" t="n">
        <x:f>'Monthly Input'!J21</x:f>
        <x:v>0</x:v>
      </x:c>
      <x:c r="H21" s="21" t="n">
        <x:f>'Monthly Input'!K21/100</x:f>
        <x:v>0.075</x:v>
      </x:c>
      <x:c r="I21" s="42" t="n">
        <x:f>IFERROR((F21*D21)/H21,"")</x:f>
        <x:v>450.4231827111985</x:v>
      </x:c>
      <x:c r="J21" s="43" t="str">
        <x:f>IFERROR(I21/G21,"")</x:f>
      </x:c>
      <x:c r="K21" s="44" t="n">
        <x:f>IFERROR(G21/(F21*D21),"")</x:f>
        <x:v>0</x:v>
      </x:c>
      <x:c r="L21" s="42" t="str">
        <x:f>IFERROR('Monthly Input'!L21/SUM('Monthly Input'!L21:N21),"")</x:f>
      </x:c>
      <x:c r="M21" s="21" t="str">
        <x:f>IFERROR('Monthly Input'!N21/SUM('Monthly Input'!L21:N21),"")</x:f>
      </x:c>
      <x:c r="N21" s="21" t="n">
        <x:f>SUM('Monthly Input'!L21:N21)</x:f>
        <x:v>0</x:v>
      </x:c>
      <x:c r="O21" s="18" t="str">
        <x:f>IF(OR(A21="",B21="",C21=""),"Missing required data","Ready")</x:f>
        <x:v>Ready</x:v>
      </x:c>
    </x:row>
    <x:row r="22">
      <x:c r="A22" s="18" t="str">
        <x:f>'Monthly Input'!A22</x:f>
        <x:v>Partnership</x:v>
      </x:c>
      <x:c r="B22" s="19" t="n">
        <x:f>'Monthly Input'!B22</x:f>
        <x:v>46082</x:v>
      </x:c>
      <x:c r="C22" s="42" t="n">
        <x:f>'Monthly Input'!C22</x:f>
        <x:v>3532620</x:v>
      </x:c>
      <x:c r="D22" s="21" t="n">
        <x:f>IFERROR('Monthly Input'!D22/'Monthly Input'!C22,"")</x:f>
        <x:v>1</x:v>
      </x:c>
      <x:c r="E22" s="21" t="n">
        <x:f>IFERROR('Monthly Input'!E22/'Monthly Input'!C22,"")</x:f>
        <x:v>1</x:v>
      </x:c>
      <x:c r="F22" s="42" t="n">
        <x:f>IFERROR('Monthly Input'!C22/'Monthly Input'!I22,"")</x:f>
        <x:v>71.07887323943662</x:v>
      </x:c>
      <x:c r="G22" s="42" t="n">
        <x:f>'Monthly Input'!J22</x:f>
        <x:v>0</x:v>
      </x:c>
      <x:c r="H22" s="21" t="n">
        <x:f>'Monthly Input'!K22/100</x:f>
        <x:v>0.051</x:v>
      </x:c>
      <x:c r="I22" s="42" t="n">
        <x:f>IFERROR((F22*D22)/H22,"")</x:f>
        <x:v>1393.7033968516985</x:v>
      </x:c>
      <x:c r="J22" s="43" t="str">
        <x:f>IFERROR(I22/G22,"")</x:f>
      </x:c>
      <x:c r="K22" s="44" t="n">
        <x:f>IFERROR(G22/(F22*D22),"")</x:f>
        <x:v>0</x:v>
      </x:c>
      <x:c r="L22" s="42" t="str">
        <x:f>IFERROR('Monthly Input'!L22/SUM('Monthly Input'!L22:N22),"")</x:f>
      </x:c>
      <x:c r="M22" s="21" t="str">
        <x:f>IFERROR('Monthly Input'!N22/SUM('Monthly Input'!L22:N22),"")</x:f>
      </x:c>
      <x:c r="N22" s="21" t="n">
        <x:f>SUM('Monthly Input'!L22:N22)</x:f>
        <x:v>0</x:v>
      </x:c>
      <x:c r="O22" s="18" t="str">
        <x:f>IF(OR(A22="",B22="",C22=""),"Missing required data","Ready")</x:f>
        <x:v>Ready</x:v>
      </x:c>
    </x:row>
    <x:row r="23">
      <x:c r="A23" s="18" t="str">
        <x:f>'Monthly Input'!A23</x:f>
        <x:v>Partnership</x:v>
      </x:c>
      <x:c r="B23" s="19" t="n">
        <x:f>'Monthly Input'!B23</x:f>
        <x:v>46113</x:v>
      </x:c>
      <x:c r="C23" s="42" t="n">
        <x:f>'Monthly Input'!C23</x:f>
        <x:v>3277186.5</x:v>
      </x:c>
      <x:c r="D23" s="21" t="n">
        <x:f>IFERROR('Monthly Input'!D23/'Monthly Input'!C23,"")</x:f>
        <x:v>1</x:v>
      </x:c>
      <x:c r="E23" s="21" t="n">
        <x:f>IFERROR('Monthly Input'!E23/'Monthly Input'!C23,"")</x:f>
        <x:v>1</x:v>
      </x:c>
      <x:c r="F23" s="42" t="n">
        <x:f>IFERROR('Monthly Input'!C23/'Monthly Input'!I23,"")</x:f>
        <x:v>38.64606721698113</x:v>
      </x:c>
      <x:c r="G23" s="42" t="n">
        <x:f>'Monthly Input'!J23</x:f>
        <x:v>0</x:v>
      </x:c>
      <x:c r="H23" s="21" t="n">
        <x:f>'Monthly Input'!K23/100</x:f>
        <x:v>0.063</x:v>
      </x:c>
      <x:c r="I23" s="42" t="n">
        <x:f>IFERROR((F23*D23)/H23,"")</x:f>
        <x:v>613.4296383647799</x:v>
      </x:c>
      <x:c r="J23" s="43" t="str">
        <x:f>IFERROR(I23/G23,"")</x:f>
      </x:c>
      <x:c r="K23" s="44" t="n">
        <x:f>IFERROR(G23/(F23*D23),"")</x:f>
        <x:v>0</x:v>
      </x:c>
      <x:c r="L23" s="42" t="str">
        <x:f>IFERROR('Monthly Input'!L23/SUM('Monthly Input'!L23:N23),"")</x:f>
      </x:c>
      <x:c r="M23" s="21" t="str">
        <x:f>IFERROR('Monthly Input'!N23/SUM('Monthly Input'!L23:N23),"")</x:f>
      </x:c>
      <x:c r="N23" s="21" t="n">
        <x:f>SUM('Monthly Input'!L23:N23)</x:f>
        <x:v>0</x:v>
      </x:c>
      <x:c r="O23" s="18" t="str">
        <x:f>IF(OR(A23="",B23="",C23=""),"Missing required data","Ready")</x:f>
        <x:v>Ready</x:v>
      </x:c>
    </x:row>
    <x:row r="24">
      <x:c r="A24" s="18" t="str">
        <x:f>'Monthly Input'!A24</x:f>
        <x:v>Partnership</x:v>
      </x:c>
      <x:c r="B24" s="19" t="n">
        <x:f>'Monthly Input'!B24</x:f>
        <x:v>46143</x:v>
      </x:c>
      <x:c r="C24" s="42" t="n">
        <x:f>'Monthly Input'!C24</x:f>
        <x:v>3409108.5</x:v>
      </x:c>
      <x:c r="D24" s="21" t="n">
        <x:f>IFERROR('Monthly Input'!D24/'Monthly Input'!C24,"")</x:f>
        <x:v>1</x:v>
      </x:c>
      <x:c r="E24" s="21" t="n">
        <x:f>IFERROR('Monthly Input'!E24/'Monthly Input'!C24,"")</x:f>
        <x:v>1</x:v>
      </x:c>
      <x:c r="F24" s="42" t="n">
        <x:f>IFERROR('Monthly Input'!C24/'Monthly Input'!I24,"")</x:f>
        <x:v>41.07359638554217</x:v>
      </x:c>
      <x:c r="G24" s="42" t="n">
        <x:f>'Monthly Input'!J24</x:f>
        <x:v>0</x:v>
      </x:c>
      <x:c r="H24" s="21" t="n">
        <x:f>'Monthly Input'!K24/100</x:f>
        <x:v>0.045</x:v>
      </x:c>
      <x:c r="I24" s="42" t="n">
        <x:f>IFERROR((F24*D24)/H24,"")</x:f>
        <x:v>912.7465863453815</x:v>
      </x:c>
      <x:c r="J24" s="43" t="str">
        <x:f>IFERROR(I24/G24,"")</x:f>
      </x:c>
      <x:c r="K24" s="44" t="n">
        <x:f>IFERROR(G24/(F24*D24),"")</x:f>
        <x:v>0</x:v>
      </x:c>
      <x:c r="L24" s="42" t="str">
        <x:f>IFERROR('Monthly Input'!L24/SUM('Monthly Input'!L24:N24),"")</x:f>
      </x:c>
      <x:c r="M24" s="21" t="str">
        <x:f>IFERROR('Monthly Input'!N24/SUM('Monthly Input'!L24:N24),"")</x:f>
      </x:c>
      <x:c r="N24" s="21" t="n">
        <x:f>SUM('Monthly Input'!L24:N24)</x:f>
        <x:v>0</x:v>
      </x:c>
      <x:c r="O24" s="18" t="str">
        <x:f>IF(OR(A24="",B24="",C24=""),"Missing required data","Ready")</x:f>
        <x:v>Ready</x:v>
      </x:c>
    </x:row>
    <x:row r="25">
      <x:c r="A25" s="18" t="str">
        <x:f>'Monthly Input'!A25</x:f>
        <x:v>Partnership</x:v>
      </x:c>
      <x:c r="B25" s="19" t="n">
        <x:f>'Monthly Input'!B25</x:f>
        <x:v>46174</x:v>
      </x:c>
      <x:c r="C25" s="42" t="n">
        <x:f>'Monthly Input'!C25</x:f>
        <x:v>2645559</x:v>
      </x:c>
      <x:c r="D25" s="21" t="n">
        <x:f>IFERROR('Monthly Input'!D25/'Monthly Input'!C25,"")</x:f>
        <x:v>1</x:v>
      </x:c>
      <x:c r="E25" s="21" t="n">
        <x:f>IFERROR('Monthly Input'!E25/'Monthly Input'!C25,"")</x:f>
        <x:v>1</x:v>
      </x:c>
      <x:c r="F25" s="42" t="n">
        <x:f>IFERROR('Monthly Input'!C25/'Monthly Input'!I25,"")</x:f>
        <x:v>36.591410788381744</x:v>
      </x:c>
      <x:c r="G25" s="42" t="n">
        <x:f>'Monthly Input'!J25</x:f>
        <x:v>0</x:v>
      </x:c>
      <x:c r="H25" s="21" t="n">
        <x:f>'Monthly Input'!K25/100</x:f>
        <x:v>0.036000000000000004</x:v>
      </x:c>
      <x:c r="I25" s="42" t="n">
        <x:f>IFERROR((F25*D25)/H25,"")</x:f>
        <x:v>1016.4280774550483</x:v>
      </x:c>
      <x:c r="J25" s="43" t="str">
        <x:f>IFERROR(I25/G25,"")</x:f>
      </x:c>
      <x:c r="K25" s="44" t="n">
        <x:f>IFERROR(G25/(F25*D25),"")</x:f>
        <x:v>0</x:v>
      </x:c>
      <x:c r="L25" s="42" t="str">
        <x:f>IFERROR('Monthly Input'!L25/SUM('Monthly Input'!L25:N25),"")</x:f>
      </x:c>
      <x:c r="M25" s="21" t="str">
        <x:f>IFERROR('Monthly Input'!N25/SUM('Monthly Input'!L25:N25),"")</x:f>
      </x:c>
      <x:c r="N25" s="21" t="n">
        <x:f>SUM('Monthly Input'!L25:N25)</x:f>
        <x:v>0</x:v>
      </x:c>
      <x:c r="O25" s="18" t="str">
        <x:f>IF(OR(A25="",B25="",C25=""),"Missing required data","Ready")</x:f>
        <x:v>Ready</x:v>
      </x:c>
    </x:row>
    <x:row r="26">
      <x:c r="A26" s="18" t="str">
        <x:f>'Monthly Input'!A26</x:f>
        <x:v>Partnership</x:v>
      </x:c>
      <x:c r="B26" s="19" t="n">
        <x:f>'Monthly Input'!B26</x:f>
        <x:v>46204</x:v>
      </x:c>
      <x:c r="C26" s="42" t="n">
        <x:f>'Monthly Input'!C26</x:f>
        <x:v>2426014.5</x:v>
      </x:c>
      <x:c r="D26" s="21" t="n">
        <x:f>IFERROR('Monthly Input'!D26/'Monthly Input'!C26,"")</x:f>
        <x:v>1</x:v>
      </x:c>
      <x:c r="E26" s="21" t="n">
        <x:f>IFERROR('Monthly Input'!E26/'Monthly Input'!C26,"")</x:f>
        <x:v>0.1756026190280396</x:v>
      </x:c>
      <x:c r="F26" s="42" t="n">
        <x:f>IFERROR('Monthly Input'!C26/'Monthly Input'!I26,"")</x:f>
        <x:v>33.97779411764706</x:v>
      </x:c>
      <x:c r="G26" s="42" t="n">
        <x:f>'Monthly Input'!J26</x:f>
        <x:v>0</x:v>
      </x:c>
      <x:c r="H26" s="21" t="n">
        <x:f>'Monthly Input'!K26/100</x:f>
        <x:v>0.051</x:v>
      </x:c>
      <x:c r="I26" s="42" t="n">
        <x:f>IFERROR((F26*D26)/H26,"")</x:f>
        <x:v>666.2312572087659</x:v>
      </x:c>
      <x:c r="J26" s="43" t="str">
        <x:f>IFERROR(I26/G26,"")</x:f>
      </x:c>
      <x:c r="K26" s="44" t="n">
        <x:f>IFERROR(G26/(F26*D26),"")</x:f>
        <x:v>0</x:v>
      </x:c>
      <x:c r="L26" s="42" t="str">
        <x:f>IFERROR('Monthly Input'!L26/SUM('Monthly Input'!L26:N26),"")</x:f>
      </x:c>
      <x:c r="M26" s="21" t="str">
        <x:f>IFERROR('Monthly Input'!N26/SUM('Monthly Input'!L26:N26),"")</x:f>
      </x:c>
      <x:c r="N26" s="21" t="n">
        <x:f>SUM('Monthly Input'!L26:N26)</x:f>
        <x:v>0</x:v>
      </x:c>
      <x:c r="O26" s="18" t="str">
        <x:f>IF(OR(A26="",B26="",C26=""),"Missing required data","Ready")</x:f>
        <x:v>Ready</x:v>
      </x:c>
    </x:row>
    <x:row r="27">
      <x:c r="A27" s="18" t="str">
        <x:f>'Monthly Input'!A27</x:f>
        <x:v>Partnership</x:v>
      </x:c>
      <x:c r="B27" s="19" t="n">
        <x:f>'Monthly Input'!B27</x:f>
        <x:v>46235</x:v>
      </x:c>
      <x:c r="C27" s="42" t="n">
        <x:f>'Monthly Input'!C27</x:f>
        <x:v>4587655.8</x:v>
      </x:c>
      <x:c r="D27" s="21" t="n">
        <x:f>IFERROR('Monthly Input'!D27/'Monthly Input'!C27,"")</x:f>
        <x:v>1</x:v>
      </x:c>
      <x:c r="E27" s="21" t="n">
        <x:f>IFERROR('Monthly Input'!E27/'Monthly Input'!C27,"")</x:f>
        <x:v>0.3460712549533468</x:v>
      </x:c>
      <x:c r="F27" s="42" t="n">
        <x:f>IFERROR('Monthly Input'!C27/'Monthly Input'!I27,"")</x:f>
        <x:v>61.332296791443845</x:v>
      </x:c>
      <x:c r="G27" s="42" t="n">
        <x:f>'Monthly Input'!J27</x:f>
        <x:v>0</x:v>
      </x:c>
      <x:c r="H27" s="21" t="n">
        <x:f>'Monthly Input'!K27/100</x:f>
        <x:v>0.142</x:v>
      </x:c>
      <x:c r="I27" s="42" t="n">
        <x:f>IFERROR((F27*D27)/H27,"")</x:f>
        <x:v>431.917583038337</x:v>
      </x:c>
      <x:c r="J27" s="43" t="str">
        <x:f>IFERROR(I27/G27,"")</x:f>
      </x:c>
      <x:c r="K27" s="44" t="n">
        <x:f>IFERROR(G27/(F27*D27),"")</x:f>
        <x:v>0</x:v>
      </x:c>
      <x:c r="L27" s="42" t="str">
        <x:f>IFERROR('Monthly Input'!L27/SUM('Monthly Input'!L27:N27),"")</x:f>
      </x:c>
      <x:c r="M27" s="21" t="str">
        <x:f>IFERROR('Monthly Input'!N27/SUM('Monthly Input'!L27:N27),"")</x:f>
      </x:c>
      <x:c r="N27" s="21" t="n">
        <x:f>SUM('Monthly Input'!L27:N27)</x:f>
        <x:v>0</x:v>
      </x:c>
      <x:c r="O27" s="18" t="str">
        <x:f>IF(OR(A27="",B27="",C27=""),"Missing required data","Ready")</x:f>
        <x:v>Ready</x:v>
      </x:c>
    </x:row>
    <x:row r="28">
      <x:c r="A28" s="18" t="str">
        <x:f>'Monthly Input'!A28</x:f>
        <x:v>Partnership</x:v>
      </x:c>
      <x:c r="B28" s="19" t="n">
        <x:f>'Monthly Input'!B28</x:f>
        <x:v>46266</x:v>
      </x:c>
      <x:c r="C28" s="42" t="n">
        <x:f>'Monthly Input'!C28</x:f>
        <x:v>3671514</x:v>
      </x:c>
      <x:c r="D28" s="21" t="n">
        <x:f>IFERROR('Monthly Input'!D28/'Monthly Input'!C28,"")</x:f>
        <x:v>1</x:v>
      </x:c>
      <x:c r="E28" s="21" t="n">
        <x:f>IFERROR('Monthly Input'!E28/'Monthly Input'!C28,"")</x:f>
        <x:v>1</x:v>
      </x:c>
      <x:c r="F28" s="42" t="n">
        <x:f>IFERROR('Monthly Input'!C28/'Monthly Input'!I28,"")</x:f>
        <x:v>54.31233727810651</x:v>
      </x:c>
      <x:c r="G28" s="42" t="n">
        <x:f>'Monthly Input'!J28</x:f>
        <x:v>0</x:v>
      </x:c>
      <x:c r="H28" s="21" t="n">
        <x:f>'Monthly Input'!K28/100</x:f>
        <x:v>0.061</x:v>
      </x:c>
      <x:c r="I28" s="42" t="n">
        <x:f>IFERROR((F28*D28)/H28,"")</x:f>
        <x:v>890.366184886992</x:v>
      </x:c>
      <x:c r="J28" s="43" t="str">
        <x:f>IFERROR(I28/G28,"")</x:f>
      </x:c>
      <x:c r="K28" s="44" t="n">
        <x:f>IFERROR(G28/(F28*D28),"")</x:f>
        <x:v>0</x:v>
      </x:c>
      <x:c r="L28" s="42" t="str">
        <x:f>IFERROR('Monthly Input'!L28/SUM('Monthly Input'!L28:N28),"")</x:f>
      </x:c>
      <x:c r="M28" s="21" t="str">
        <x:f>IFERROR('Monthly Input'!N28/SUM('Monthly Input'!L28:N28),"")</x:f>
      </x:c>
      <x:c r="N28" s="21" t="n">
        <x:f>SUM('Monthly Input'!L28:N28)</x:f>
        <x:v>0</x:v>
      </x:c>
      <x:c r="O28" s="18" t="str">
        <x:f>IF(OR(A28="",B28="",C28=""),"Missing required data","Ready")</x:f>
        <x:v>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FF2CC"/>
  </x:sheetPr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</x:cols>
  <x:sheetData>
    <x:row r="1">
      <x:c r="A1" s="47" t="str">
        <x:v>Business Unit</x:v>
      </x:c>
      <x:c r="B1" s="47" t="str">
        <x:v>Use in Monthly Input</x:v>
      </x:c>
    </x:row>
    <x:row r="2">
      <x:c r="A2" s="48" t="str">
        <x:v>Overview</x:v>
      </x:c>
      <x:c r="B2" s="48" t="str">
        <x:v>Aggregate company view; do not sum with component units</x:v>
      </x:c>
    </x:row>
    <x:row r="3">
      <x:c r="A3" s="48" t="str">
        <x:v>Diaspora Tutoring</x:v>
      </x:c>
      <x:c r="B3" s="48" t="str">
        <x:v>Operating business unit</x:v>
      </x:c>
    </x:row>
    <x:row r="4">
      <x:c r="A4" s="48" t="str">
        <x:v>Partnership</x:v>
      </x:c>
      <x:c r="B4" s="48" t="str">
        <x:v>Operating business unit</x:v>
      </x:c>
    </x:row>
    <x:row r="5">
      <x:c r="A5" s="48" t="str"/>
      <x:c r="B5" s="48" t="str">
        <x:v>Add new units here before entering data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CE4D6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>
      <x:c r="A1" s="50" t="str">
        <x:v>Data quality check</x:v>
      </x:c>
      <x:c r="B1" s="50" t="str">
        <x:v>Result</x:v>
      </x:c>
    </x:row>
    <x:row r="2">
      <x:c r="A2" t="str">
        <x:v>Input records</x:v>
      </x:c>
      <x:c r="B2" t="n">
        <x:f>COUNTA('Monthly Input'!A2:A28)</x:f>
        <x:v>27</x:v>
      </x:c>
    </x:row>
    <x:row r="3">
      <x:c r="A3" t="str">
        <x:v>Unique business units</x:v>
      </x:c>
      <x:c r="B3" t="n">
        <x:f>COUNTA(Lists!A2:A4)</x:f>
        <x:v>3</x:v>
      </x:c>
    </x:row>
    <x:row r="4">
      <x:c r="A4" t="str">
        <x:v>Latest reported month</x:v>
      </x:c>
      <x:c r="B4" s="1" t="n">
        <x:f>MAX('Monthly Input'!B2:B28)</x:f>
        <x:v>46266</x:v>
      </x:c>
    </x:row>
    <x:row r="5">
      <x:c r="A5" t="str">
        <x:v>Rows missing MRR</x:v>
      </x:c>
      <x:c r="B5" t="n">
        <x:f>COUNTBLANK('Monthly Input'!C2:C28)</x:f>
        <x:v>0</x:v>
      </x:c>
    </x:row>
    <x:row r="6">
      <x:c r="A6" t="str">
        <x:v>Rows with missing required fields</x:v>
      </x:c>
      <x:c r="B6" t="n">
        <x:f>COUNTIF('Calculated Metrics'!O2:O28,"Missing required data")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4C7E7"/>
  </x:sheetPr>
  <x:sheetViews>
    <x:sheetView showGridLines="0" workbookViewId="0"/>
  </x:sheetViews>
  <x:sheetFormatPr defaultRowHeight="15"/>
  <x:cols>
    <x:col min="1" max="1" width="25" hidden="0" customWidth="1"/>
    <x:col min="2" max="2" width="80" hidden="0" customWidth="1"/>
  </x:cols>
  <x:sheetData>
    <x:row r="1">
      <x:c r="A1" s="54" t="str">
        <x:v>Finance dashboard data source</x:v>
      </x:c>
      <x:c r="B1" s="54" t="str"/>
    </x:row>
    <x:row r="2">
      <x:c r="A2" s="55" t="str">
        <x:v>Purpose</x:v>
      </x:c>
      <x:c r="B2" s="56" t="str">
        <x:v>This workbook is the maintained source for the Next.js finance dashboard.</x:v>
      </x:c>
    </x:row>
    <x:row r="3">
      <x:c r="A3" s="55" t="str">
        <x:v>Where to enter data</x:v>
      </x:c>
      <x:c r="B3" s="56" t="str">
        <x:v>Add or update one row per business unit per reporting month on Monthly Input.</x:v>
      </x:c>
    </x:row>
    <x:row r="4">
      <x:c r="A4" s="55" t="str">
        <x:v>Date convention</x:v>
      </x:c>
      <x:c r="B4" s="56" t="str">
        <x:v>Use the first day of the month, formatted YYYY-MM-DD.</x:v>
      </x:c>
    </x:row>
    <x:row r="5">
      <x:c r="A5" s="55" t="str">
        <x:v>Numbers</x:v>
      </x:c>
      <x:c r="B5" s="56" t="str">
        <x:v>Enter plain numbers only. Do not enter currency symbols, commas, or percentage signs.</x:v>
      </x:c>
    </x:row>
    <x:row r="6">
      <x:c r="A6" s="55" t="str">
        <x:v>Blank versus zero</x:v>
      </x:c>
      <x:c r="B6" s="56" t="str">
        <x:v>Leave unavailable data blank. Use zero only when the actual value is zero.</x:v>
      </x:c>
    </x:row>
    <x:row r="7">
      <x:c r="A7" s="55" t="str">
        <x:v>Churn Rate</x:v>
      </x:c>
      <x:c r="B7" s="56" t="str">
        <x:v>Enter the percentage as a number, for example 8.5 for 8.5%.</x:v>
      </x:c>
    </x:row>
    <x:row r="8">
      <x:c r="A8" s="55" t="str">
        <x:v>Overview rows</x:v>
      </x:c>
      <x:c r="B8" s="56" t="str">
        <x:v>Overview is a company aggregate. Do not add it to a total of the component business units.</x:v>
      </x:c>
    </x:row>
    <x:row r="9">
      <x:c r="A9" s="55" t="str">
        <x:v>New business units</x:v>
      </x:c>
      <x:c r="B9" s="56" t="str">
        <x:v>Add the unit to Lists before entering its monthly data.</x:v>
      </x:c>
    </x:row>
    <x:row r="10">
      <x:c r="A10" s="55" t="str">
        <x:v>App connection</x:v>
      </x:c>
      <x:c r="B10" s="56" t="str">
        <x:v>The app should read Calculated Metrics; it will apply period filters and display formatting.</x:v>
      </x:c>
    </x:row>
  </x:sheetData>
  <x:pageMargins left="0.7" right="0.7" top="0.75" bottom="0.75" header="0.3" footer="0.3"/>
</x:worksheet>
</file>